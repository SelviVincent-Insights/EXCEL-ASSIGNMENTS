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Entri - Kumaran Sir/Assignment/Excel/"/>
    </mc:Choice>
  </mc:AlternateContent>
  <xr:revisionPtr revIDLastSave="85" documentId="11_AE6035745C5AC9D6C759A76D5D31450AFDAE85B8" xr6:coauthVersionLast="47" xr6:coauthVersionMax="47" xr10:uidLastSave="{89410928-D3C3-43F6-A358-DB3AEA7EDC07}"/>
  <bookViews>
    <workbookView xWindow="-110" yWindow="-110" windowWidth="19420" windowHeight="10300" tabRatio="338" activeTab="2" xr2:uid="{00000000-000D-0000-FFFF-FFFF00000000}"/>
  </bookViews>
  <sheets>
    <sheet name="Instructions" sheetId="1" r:id="rId1"/>
    <sheet name="Dataset" sheetId="2" r:id="rId2"/>
    <sheet name="Excel Assignmen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5" i="3" l="1"/>
  <c r="I5" i="3"/>
  <c r="J5" i="3"/>
  <c r="H6" i="3"/>
  <c r="H4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4" i="3"/>
  <c r="J4" i="3"/>
  <c r="Y4" i="3"/>
  <c r="X4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P3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W4" i="3"/>
  <c r="V4" i="3"/>
  <c r="U4" i="3"/>
  <c r="T4" i="3"/>
  <c r="S4" i="3"/>
</calcChain>
</file>

<file path=xl/sharedStrings.xml><?xml version="1.0" encoding="utf-8"?>
<sst xmlns="http://schemas.openxmlformats.org/spreadsheetml/2006/main" count="422" uniqueCount="124">
  <si>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</si>
  <si>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</si>
  <si>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</si>
  <si>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</si>
  <si>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</si>
  <si>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</si>
  <si>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</si>
  <si>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</si>
  <si>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</si>
  <si>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</si>
  <si>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</si>
  <si>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</si>
  <si>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</si>
  <si>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</si>
  <si>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</si>
  <si>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</si>
  <si>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</si>
  <si>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</si>
  <si>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</si>
  <si>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</si>
  <si>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</si>
  <si>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</si>
  <si>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</si>
  <si>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</si>
  <si>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</si>
  <si>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</si>
  <si>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</si>
  <si>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</si>
  <si>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</si>
  <si>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</si>
  <si>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</si>
  <si>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</si>
  <si>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</si>
  <si>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</si>
  <si>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</si>
  <si>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</si>
  <si>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</si>
  <si>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</si>
  <si>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</si>
  <si>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</si>
  <si>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</si>
  <si>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</si>
  <si>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</si>
  <si>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</si>
  <si>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</si>
  <si>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</si>
  <si>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</si>
  <si>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</si>
  <si>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</si>
  <si>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</si>
  <si>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</si>
  <si>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</si>
  <si>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</si>
  <si>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</si>
  <si>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</si>
  <si>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</si>
  <si>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</si>
  <si>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</si>
  <si>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</si>
  <si>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</si>
  <si>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</si>
  <si>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</si>
  <si>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</si>
  <si>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</si>
  <si>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</si>
  <si>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</si>
  <si>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</si>
  <si>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</si>
  <si>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</si>
  <si>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</si>
  <si>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</si>
  <si>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</si>
  <si>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</si>
  <si>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</si>
  <si>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</si>
  <si>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</si>
  <si>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</si>
  <si>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</si>
  <si>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</si>
  <si>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</si>
  <si>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</si>
  <si>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</si>
  <si>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</si>
  <si>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</si>
  <si>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</si>
  <si>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</si>
  <si>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</si>
  <si>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</si>
  <si>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</si>
  <si>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</si>
  <si>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</si>
  <si>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</si>
  <si>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</si>
  <si>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</si>
  <si>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</si>
  <si>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</si>
  <si>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</si>
  <si>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</si>
  <si>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</si>
  <si>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</si>
  <si>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</si>
  <si>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</si>
  <si>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</si>
  <si>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</si>
  <si>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</si>
  <si>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</si>
  <si>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</si>
  <si>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</si>
  <si>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</si>
  <si>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</si>
  <si>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RAW  DATA </t>
  </si>
  <si>
    <t>DATA EXPLORATION</t>
  </si>
  <si>
    <t>SUM</t>
  </si>
  <si>
    <t>COUNT</t>
  </si>
  <si>
    <t>AVERAGE</t>
  </si>
  <si>
    <t>MINIMUM</t>
  </si>
  <si>
    <t>MAXIMUM</t>
  </si>
  <si>
    <t>Total Sales</t>
  </si>
  <si>
    <t>Price Range</t>
  </si>
  <si>
    <t>TOTAL SALES OF ELECTRONICS</t>
  </si>
  <si>
    <t>COUNTIF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</si>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</sst>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1"/>
      <color rgb="FF9C57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7030A0"/>
      <name val="Arial"/>
      <family val="2"/>
      <scheme val="minor"/>
    </font>
    <font>
      <b/>
      <sz val="10"/>
      <color rgb="FF7030A0"/>
      <name val="Arial"/>
      <family val="2"/>
      <scheme val="minor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gradientFill degree="90">
        <stop position="0">
          <color theme="0"/>
        </stop>
        <stop position="1">
          <color rgb="FFB686DA"/>
        </stop>
      </gradientFill>
    </fill>
    <fill>
      <gradientFill degree="90">
        <stop position="0">
          <color theme="0"/>
        </stop>
        <stop position="1">
          <color theme="9" tint="0.59999389629810485"/>
        </stop>
      </gradientFill>
    </fill>
    <fill>
      <gradientFill degree="90">
        <stop position="0">
          <color theme="0" tint="-5.0965910824915313E-2"/>
        </stop>
        <stop position="1">
          <color rgb="FFFFCCFF"/>
        </stop>
      </gradient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44" fontId="7" fillId="0" borderId="0" applyFont="0" applyFill="0" applyBorder="0" applyAlignment="0" applyProtection="0"/>
    <xf numFmtId="0" fontId="12" fillId="5" borderId="1">
      <alignment horizontal="center"/>
    </xf>
    <xf numFmtId="0" fontId="11" fillId="6" borderId="3" applyBorder="0">
      <alignment horizontal="center"/>
    </xf>
    <xf numFmtId="0" fontId="9" fillId="7" borderId="0"/>
  </cellStyleXfs>
  <cellXfs count="3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13" fillId="6" borderId="3" xfId="3" applyFont="1" applyBorder="1">
      <alignment horizontal="center"/>
    </xf>
    <xf numFmtId="0" fontId="13" fillId="6" borderId="4" xfId="3" applyFont="1" applyBorder="1">
      <alignment horizontal="center"/>
    </xf>
    <xf numFmtId="0" fontId="13" fillId="6" borderId="5" xfId="3" applyFont="1" applyBorder="1">
      <alignment horizontal="center"/>
    </xf>
    <xf numFmtId="0" fontId="14" fillId="5" borderId="2" xfId="2" applyFont="1" applyBorder="1">
      <alignment horizontal="center"/>
    </xf>
    <xf numFmtId="0" fontId="6" fillId="0" borderId="2" xfId="0" applyFont="1" applyBorder="1"/>
    <xf numFmtId="0" fontId="6" fillId="3" borderId="2" xfId="0" applyFont="1" applyFill="1" applyBorder="1"/>
    <xf numFmtId="0" fontId="8" fillId="3" borderId="2" xfId="0" applyFont="1" applyFill="1" applyBorder="1" applyAlignment="1"/>
    <xf numFmtId="0" fontId="15" fillId="7" borderId="2" xfId="4" applyFont="1" applyBorder="1" applyAlignment="1">
      <alignment horizontal="center"/>
    </xf>
    <xf numFmtId="0" fontId="0" fillId="0" borderId="0" xfId="0"/>
    <xf numFmtId="44" fontId="8" fillId="3" borderId="2" xfId="1" applyFont="1" applyFill="1" applyBorder="1"/>
    <xf numFmtId="44" fontId="6" fillId="0" borderId="2" xfId="1" applyFont="1" applyBorder="1"/>
    <xf numFmtId="44" fontId="6" fillId="3" borderId="2" xfId="1" applyFont="1" applyFill="1" applyBorder="1"/>
    <xf numFmtId="0" fontId="14" fillId="5" borderId="6" xfId="2" applyFont="1" applyBorder="1" applyAlignment="1">
      <alignment horizontal="center"/>
    </xf>
    <xf numFmtId="0" fontId="14" fillId="5" borderId="7" xfId="2" applyFont="1" applyBorder="1" applyAlignment="1">
      <alignment horizontal="center"/>
    </xf>
    <xf numFmtId="0" fontId="14" fillId="5" borderId="8" xfId="2" applyFont="1" applyBorder="1" applyAlignment="1">
      <alignment horizontal="center"/>
    </xf>
    <xf numFmtId="0" fontId="16" fillId="0" borderId="0" xfId="0" applyFont="1"/>
    <xf numFmtId="0" fontId="0" fillId="0" borderId="2" xfId="0" applyFont="1" applyBorder="1" applyAlignment="1"/>
    <xf numFmtId="0" fontId="0" fillId="8" borderId="2" xfId="0" applyFont="1" applyFill="1" applyBorder="1" applyAlignment="1"/>
    <xf numFmtId="0" fontId="6" fillId="8" borderId="2" xfId="0" applyFont="1" applyFill="1" applyBorder="1"/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0" fillId="0" borderId="2" xfId="0" applyFont="1" applyBorder="1" applyAlignment="1"/>
  </cellXfs>
  <cellStyles count="5">
    <cellStyle name="Currency" xfId="1" builtinId="4"/>
    <cellStyle name="Normal" xfId="0" builtinId="0"/>
    <cellStyle name="Style 1" xfId="2" xr:uid="{E2160209-50FD-4138-9EB9-65B6405D118A}"/>
    <cellStyle name="Style 2" xfId="3" xr:uid="{004E2B57-471E-44F7-A2B4-77752C8A3DB4}"/>
    <cellStyle name="Style 3" xfId="4" xr:uid="{3D7899BF-179C-430D-ACE4-C7DA6B6B0F4D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7030A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color rgb="FF0070C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>
          <bgColor rgb="FFE8D9F3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ill>
        <patternFill>
          <bgColor rgb="FFECDFF5"/>
        </patternFill>
      </fill>
      <border>
        <vertical style="thin">
          <color auto="1"/>
        </vertical>
        <horizontal style="thin">
          <color auto="1"/>
        </horizontal>
      </border>
    </dxf>
    <dxf>
      <fill>
        <gradientFill degree="270">
          <stop position="0">
            <color rgb="FF7030A0"/>
          </stop>
          <stop position="1">
            <color rgb="FFFFCCFF"/>
          </stop>
        </gradientFill>
      </fill>
    </dxf>
  </dxfs>
  <tableStyles count="3" defaultTableStyle="TableStyleMedium2" defaultPivotStyle="PivotStyleLight16">
    <tableStyle name="Table Style 1" pivot="0" count="1" xr9:uid="{8625B53C-CC5A-4484-8CCB-9AA573DABDDF}">
      <tableStyleElement type="wholeTable" dxfId="27"/>
    </tableStyle>
    <tableStyle name="Table Style 2" pivot="0" count="1" xr9:uid="{C480750E-859E-4C08-92DC-B5DBF1C37FD9}">
      <tableStyleElement type="wholeTable" dxfId="26"/>
    </tableStyle>
    <tableStyle name="Table Style 3" pivot="0" count="1" xr9:uid="{0D4B7C14-BC6F-489A-947C-859FCCF8A1A6}">
      <tableStyleElement type="totalRow" dxfId="21"/>
    </tableStyle>
  </tableStyles>
  <colors>
    <mruColors>
      <color rgb="FFE8D9F3"/>
      <color rgb="FFFFCCFF"/>
      <color rgb="FFF1E8F8"/>
      <color rgb="FFB686DA"/>
      <color rgb="FFB889DB"/>
      <color rgb="FFECDFF5"/>
      <color rgb="FFDAC2E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885F59-FD9B-4DE6-BE36-368E77E1C3F3}" name="Table3" displayName="Table3" ref="J3:Q37" headerRowDxfId="6" dataDxfId="25" totalsRowDxfId="5" headerRowBorderDxfId="23" tableBorderDxfId="24" totalsRowBorderDxfId="22" headerRowCellStyle="Style 1">
  <autoFilter ref="J3:Q37" xr:uid="{D4885F59-FD9B-4DE6-BE36-368E77E1C3F3}"/>
  <tableColumns count="8">
    <tableColumn id="1" xr3:uid="{FD56BEF1-5708-4E2E-A089-DAFDB2168D97}" name="Month" totalsRowLabel="Total" dataDxfId="11" totalsRowDxfId="13">
      <calculatedColumnFormula>MID(A4,4,3)</calculatedColumnFormula>
    </tableColumn>
    <tableColumn id="2" xr3:uid="{F674F688-BD92-4527-A139-FA4A7AF39E28}" name="Product Name" dataDxfId="10" totalsRowDxfId="14"/>
    <tableColumn id="3" xr3:uid="{8ACBF3CA-B12B-4204-AD8F-7FCAFDCA5B5B}" name="Brand Name" dataDxfId="9" totalsRowDxfId="15"/>
    <tableColumn id="4" xr3:uid="{09F73193-001A-43D3-817A-40CF40642765}" name="Price ($)" dataDxfId="2" totalsRowDxfId="16" dataCellStyle="Currency"/>
    <tableColumn id="5" xr3:uid="{378713EB-872D-45E1-83F5-3E57B66509C7}" name="Quantity" dataDxfId="0" totalsRowDxfId="17"/>
    <tableColumn id="6" xr3:uid="{DA6571A5-BAC0-42DB-A8F1-B948188D6BB0}" name="Category" dataDxfId="1" totalsRowDxfId="18"/>
    <tableColumn id="7" xr3:uid="{84703D73-A003-46FE-A903-EB006A4C216E}" name="Total Sales" dataDxfId="8" totalsRowDxfId="19" dataCellStyle="Currency">
      <calculatedColumnFormula>M4*N4</calculatedColumnFormula>
    </tableColumn>
    <tableColumn id="8" xr3:uid="{E3CB6AD4-0506-4964-BA18-9A3BD6CE6CBC}" name="Price Range" totalsRowFunction="count" dataDxfId="7" totalsRowDxfId="20">
      <calculatedColumnFormula>IF(M4&gt;=500,"High Price","Standard Price")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A4F713-7330-478F-A153-F8F10F936C84}" name="Table5" displayName="Table5" ref="H3:I37" totalsRowShown="0" headerRowDxfId="4" headerRowBorderDxfId="3" headerRowCellStyle="Style 1">
  <autoFilter ref="H3:I37" xr:uid="{42A4F713-7330-478F-A153-F8F10F936C84}"/>
  <tableColumns count="2">
    <tableColumn id="1" xr3:uid="{298F4989-AA94-4093-83C4-4DE25F7159CE}" name="Day">
      <calculatedColumnFormula>LEFT(A4,2)</calculatedColumnFormula>
    </tableColumn>
    <tableColumn id="2" xr3:uid="{2F6260A0-468D-43D3-993E-52D7923F70DE}" name="Country Code">
      <calculatedColumnFormula>RIGHT(A4,2)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6" zoomScaleNormal="100" workbookViewId="0">
      <selection activeCell="J17" sqref="J1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26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Normal="100" workbookViewId="0">
      <selection activeCell="F5" sqref="F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228F-59E5-447D-A911-AF43A66F3FB2}">
  <dimension ref="A1:Y37"/>
  <sheetViews>
    <sheetView tabSelected="1" topLeftCell="Q1" zoomScale="110" zoomScaleNormal="110" workbookViewId="0">
      <selection activeCell="U8" sqref="U8"/>
    </sheetView>
  </sheetViews>
  <sheetFormatPr defaultRowHeight="12.5" x14ac:dyDescent="0.25"/>
  <cols>
    <col min="1" max="6" width="15.6328125" customWidth="1"/>
    <col min="9" max="9" width="15.7265625" customWidth="1"/>
    <col min="10" max="16" width="15.6328125" customWidth="1"/>
    <col min="17" max="17" width="17.453125" bestFit="1" customWidth="1"/>
    <col min="18" max="18" width="17.453125" customWidth="1"/>
    <col min="21" max="21" width="10.6328125" bestFit="1" customWidth="1"/>
    <col min="22" max="22" width="10.08984375" bestFit="1" customWidth="1"/>
    <col min="23" max="23" width="10.7265625" bestFit="1" customWidth="1"/>
    <col min="24" max="24" width="30.6328125" bestFit="1" customWidth="1"/>
  </cols>
  <sheetData>
    <row r="1" spans="1:25" ht="14" x14ac:dyDescent="0.3">
      <c r="B1" s="11" t="s">
        <v>110</v>
      </c>
      <c r="C1" s="12"/>
      <c r="D1" s="12"/>
      <c r="E1" s="13"/>
      <c r="K1" s="23" t="s">
        <v>111</v>
      </c>
      <c r="L1" s="24"/>
      <c r="M1" s="24"/>
      <c r="N1" s="24"/>
      <c r="O1" s="24"/>
      <c r="P1" s="25"/>
    </row>
    <row r="3" spans="1:25" ht="1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H3" s="14" t="s">
        <v>121</v>
      </c>
      <c r="I3" s="14" t="s">
        <v>123</v>
      </c>
      <c r="J3" s="14" t="s">
        <v>122</v>
      </c>
      <c r="K3" s="14" t="s">
        <v>18</v>
      </c>
      <c r="L3" s="14" t="s">
        <v>19</v>
      </c>
      <c r="M3" s="14" t="s">
        <v>20</v>
      </c>
      <c r="N3" s="14" t="s">
        <v>21</v>
      </c>
      <c r="O3" s="14" t="s">
        <v>22</v>
      </c>
      <c r="P3" s="14" t="s">
        <v>117</v>
      </c>
      <c r="Q3" s="14" t="s">
        <v>118</v>
      </c>
      <c r="R3" s="19"/>
      <c r="S3" s="18" t="s">
        <v>112</v>
      </c>
      <c r="T3" s="18" t="s">
        <v>113</v>
      </c>
      <c r="U3" s="18" t="s">
        <v>114</v>
      </c>
      <c r="V3" s="18" t="s">
        <v>115</v>
      </c>
      <c r="W3" s="18" t="s">
        <v>116</v>
      </c>
      <c r="X3" s="18" t="s">
        <v>119</v>
      </c>
      <c r="Y3" s="18" t="s">
        <v>120</v>
      </c>
    </row>
    <row r="4" spans="1:25" ht="15" customHeight="1" x14ac:dyDescent="0.3">
      <c r="A4" s="8" t="s">
        <v>23</v>
      </c>
      <c r="B4" s="8" t="s">
        <v>24</v>
      </c>
      <c r="C4" s="8" t="s">
        <v>25</v>
      </c>
      <c r="D4" s="8">
        <v>1000</v>
      </c>
      <c r="E4" s="8">
        <v>30</v>
      </c>
      <c r="F4" s="8" t="s">
        <v>26</v>
      </c>
      <c r="H4" s="27" t="str">
        <f>LEFT(A4,2)</f>
        <v>28</v>
      </c>
      <c r="I4" s="27" t="str">
        <f>RIGHT(A4,2)</f>
        <v>US</v>
      </c>
      <c r="J4" s="15" t="str">
        <f>MID(A4,4,3)</f>
        <v>JAN</v>
      </c>
      <c r="K4" s="15" t="s">
        <v>24</v>
      </c>
      <c r="L4" s="15" t="s">
        <v>25</v>
      </c>
      <c r="M4" s="21">
        <v>1000</v>
      </c>
      <c r="N4" s="30">
        <v>30</v>
      </c>
      <c r="O4" s="15" t="s">
        <v>26</v>
      </c>
      <c r="P4" s="21">
        <f t="shared" ref="P4:P37" si="0">M4*N4</f>
        <v>30000</v>
      </c>
      <c r="Q4" s="15" t="str">
        <f>IF(M4&gt;=500,"High Price","Standard Price")</f>
        <v>High Price</v>
      </c>
      <c r="R4" s="19"/>
      <c r="S4" s="32">
        <f>SUM(Table3[Price ($)])</f>
        <v>10100</v>
      </c>
      <c r="T4" s="32">
        <f>COUNT(Table3[Price ($)])</f>
        <v>34</v>
      </c>
      <c r="U4" s="32">
        <f>AVERAGE(Table3[Price ($)])</f>
        <v>297.05882352941177</v>
      </c>
      <c r="V4" s="32">
        <f>MIN(Table3[Price ($)])</f>
        <v>30</v>
      </c>
      <c r="W4" s="32">
        <f>MAX(Table3[Price ($)])</f>
        <v>1000</v>
      </c>
      <c r="X4" s="32">
        <f>SUMIF(Table3[Category], "Electronics", Table3[Total Sales])</f>
        <v>234200</v>
      </c>
      <c r="Y4" s="32">
        <f>COUNTIF(Table3[Price ($)],"&lt;100")</f>
        <v>11</v>
      </c>
    </row>
    <row r="5" spans="1:25" ht="15" customHeight="1" x14ac:dyDescent="0.25">
      <c r="A5" s="9" t="s">
        <v>27</v>
      </c>
      <c r="B5" s="9" t="s">
        <v>28</v>
      </c>
      <c r="C5" s="9" t="s">
        <v>29</v>
      </c>
      <c r="D5" s="9">
        <v>80</v>
      </c>
      <c r="E5" s="9">
        <v>15</v>
      </c>
      <c r="F5" s="9" t="s">
        <v>30</v>
      </c>
      <c r="H5" s="28" t="str">
        <f t="shared" ref="H5:H37" si="1">LEFT(A5,2)</f>
        <v>15</v>
      </c>
      <c r="I5" s="28" t="str">
        <f t="shared" ref="I5:I37" si="2">RIGHT(A5,2)</f>
        <v>US</v>
      </c>
      <c r="J5" s="29" t="str">
        <f t="shared" ref="J5:J37" si="3">MID(A5,4,3)</f>
        <v>FEB</v>
      </c>
      <c r="K5" s="16" t="s">
        <v>28</v>
      </c>
      <c r="L5" s="16" t="s">
        <v>29</v>
      </c>
      <c r="M5" s="22">
        <v>80</v>
      </c>
      <c r="N5" s="31">
        <v>15</v>
      </c>
      <c r="O5" s="16" t="s">
        <v>30</v>
      </c>
      <c r="P5" s="20">
        <f t="shared" si="0"/>
        <v>1200</v>
      </c>
      <c r="Q5" s="17" t="str">
        <f t="shared" ref="Q5:Q37" si="4">IF(M5&gt;=500,"High Price","Standard Price")</f>
        <v>Standard Price</v>
      </c>
      <c r="R5" s="19"/>
    </row>
    <row r="6" spans="1:25" ht="15" customHeight="1" x14ac:dyDescent="0.25">
      <c r="A6" s="8" t="s">
        <v>31</v>
      </c>
      <c r="B6" s="8" t="s">
        <v>32</v>
      </c>
      <c r="C6" s="8" t="s">
        <v>33</v>
      </c>
      <c r="D6" s="8">
        <v>130</v>
      </c>
      <c r="E6" s="8">
        <v>40</v>
      </c>
      <c r="F6" s="8" t="s">
        <v>34</v>
      </c>
      <c r="H6" s="27" t="str">
        <f t="shared" si="1"/>
        <v>03</v>
      </c>
      <c r="I6" s="27" t="str">
        <f t="shared" si="2"/>
        <v>US</v>
      </c>
      <c r="J6" s="15" t="str">
        <f t="shared" si="3"/>
        <v>MAR</v>
      </c>
      <c r="K6" s="15" t="s">
        <v>32</v>
      </c>
      <c r="L6" s="15" t="s">
        <v>33</v>
      </c>
      <c r="M6" s="21">
        <v>130</v>
      </c>
      <c r="N6" s="30">
        <v>40</v>
      </c>
      <c r="O6" s="15" t="s">
        <v>34</v>
      </c>
      <c r="P6" s="21">
        <f t="shared" si="0"/>
        <v>5200</v>
      </c>
      <c r="Q6" s="15" t="str">
        <f t="shared" si="4"/>
        <v>Standard Price</v>
      </c>
      <c r="R6" s="19"/>
    </row>
    <row r="7" spans="1:25" ht="15" customHeight="1" x14ac:dyDescent="0.25">
      <c r="A7" s="9" t="s">
        <v>35</v>
      </c>
      <c r="B7" s="9" t="s">
        <v>36</v>
      </c>
      <c r="C7" s="9" t="s">
        <v>37</v>
      </c>
      <c r="D7" s="9">
        <v>900</v>
      </c>
      <c r="E7" s="9">
        <v>25</v>
      </c>
      <c r="F7" s="9" t="s">
        <v>26</v>
      </c>
      <c r="H7" s="28" t="str">
        <f t="shared" si="1"/>
        <v>11</v>
      </c>
      <c r="I7" s="28" t="str">
        <f t="shared" si="2"/>
        <v>US</v>
      </c>
      <c r="J7" s="29" t="str">
        <f t="shared" si="3"/>
        <v>APR</v>
      </c>
      <c r="K7" s="16" t="s">
        <v>36</v>
      </c>
      <c r="L7" s="16" t="s">
        <v>37</v>
      </c>
      <c r="M7" s="22">
        <v>900</v>
      </c>
      <c r="N7" s="31">
        <v>25</v>
      </c>
      <c r="O7" s="16" t="s">
        <v>26</v>
      </c>
      <c r="P7" s="20">
        <f t="shared" si="0"/>
        <v>22500</v>
      </c>
      <c r="Q7" s="17" t="str">
        <f t="shared" si="4"/>
        <v>High Price</v>
      </c>
      <c r="R7" s="19"/>
    </row>
    <row r="8" spans="1:25" ht="15" customHeight="1" x14ac:dyDescent="0.25">
      <c r="A8" s="8" t="s">
        <v>38</v>
      </c>
      <c r="B8" s="8" t="s">
        <v>39</v>
      </c>
      <c r="C8" s="8" t="s">
        <v>40</v>
      </c>
      <c r="D8" s="8">
        <v>70</v>
      </c>
      <c r="E8" s="8">
        <v>20</v>
      </c>
      <c r="F8" s="8" t="s">
        <v>41</v>
      </c>
      <c r="H8" s="27" t="str">
        <f t="shared" si="1"/>
        <v>22</v>
      </c>
      <c r="I8" s="27" t="str">
        <f t="shared" si="2"/>
        <v>US</v>
      </c>
      <c r="J8" s="15" t="str">
        <f t="shared" si="3"/>
        <v>MAY</v>
      </c>
      <c r="K8" s="15" t="s">
        <v>39</v>
      </c>
      <c r="L8" s="15" t="s">
        <v>40</v>
      </c>
      <c r="M8" s="21">
        <v>70</v>
      </c>
      <c r="N8" s="30">
        <v>20</v>
      </c>
      <c r="O8" s="15" t="s">
        <v>41</v>
      </c>
      <c r="P8" s="21">
        <f t="shared" si="0"/>
        <v>1400</v>
      </c>
      <c r="Q8" s="15" t="str">
        <f t="shared" si="4"/>
        <v>Standard Price</v>
      </c>
      <c r="R8" s="19"/>
    </row>
    <row r="9" spans="1:25" ht="15" customHeight="1" x14ac:dyDescent="0.25">
      <c r="A9" s="9" t="s">
        <v>42</v>
      </c>
      <c r="B9" s="9" t="s">
        <v>43</v>
      </c>
      <c r="C9" s="9" t="s">
        <v>44</v>
      </c>
      <c r="D9" s="9">
        <v>200</v>
      </c>
      <c r="E9" s="9">
        <v>45</v>
      </c>
      <c r="F9" s="9" t="s">
        <v>26</v>
      </c>
      <c r="H9" s="28" t="str">
        <f t="shared" si="1"/>
        <v>07</v>
      </c>
      <c r="I9" s="28" t="str">
        <f t="shared" si="2"/>
        <v>UK</v>
      </c>
      <c r="J9" s="29" t="str">
        <f t="shared" si="3"/>
        <v>JUN</v>
      </c>
      <c r="K9" s="16" t="s">
        <v>43</v>
      </c>
      <c r="L9" s="16" t="s">
        <v>44</v>
      </c>
      <c r="M9" s="22">
        <v>200</v>
      </c>
      <c r="N9" s="31">
        <v>45</v>
      </c>
      <c r="O9" s="16" t="s">
        <v>26</v>
      </c>
      <c r="P9" s="20">
        <f t="shared" si="0"/>
        <v>9000</v>
      </c>
      <c r="Q9" s="17" t="str">
        <f t="shared" si="4"/>
        <v>Standard Price</v>
      </c>
      <c r="R9" s="19"/>
    </row>
    <row r="10" spans="1:25" ht="15" customHeight="1" x14ac:dyDescent="0.25">
      <c r="A10" s="8" t="s">
        <v>45</v>
      </c>
      <c r="B10" s="8" t="s">
        <v>46</v>
      </c>
      <c r="C10" s="8" t="s">
        <v>47</v>
      </c>
      <c r="D10" s="8">
        <v>30</v>
      </c>
      <c r="E10" s="8">
        <v>5</v>
      </c>
      <c r="F10" s="8" t="s">
        <v>30</v>
      </c>
      <c r="H10" s="27" t="str">
        <f t="shared" si="1"/>
        <v>19</v>
      </c>
      <c r="I10" s="27" t="str">
        <f t="shared" si="2"/>
        <v>UK</v>
      </c>
      <c r="J10" s="15" t="str">
        <f t="shared" si="3"/>
        <v>JUL</v>
      </c>
      <c r="K10" s="15" t="s">
        <v>46</v>
      </c>
      <c r="L10" s="15" t="s">
        <v>47</v>
      </c>
      <c r="M10" s="21">
        <v>30</v>
      </c>
      <c r="N10" s="30">
        <v>5</v>
      </c>
      <c r="O10" s="15" t="s">
        <v>30</v>
      </c>
      <c r="P10" s="21">
        <f t="shared" si="0"/>
        <v>150</v>
      </c>
      <c r="Q10" s="15" t="str">
        <f t="shared" si="4"/>
        <v>Standard Price</v>
      </c>
      <c r="R10" s="19"/>
    </row>
    <row r="11" spans="1:25" ht="15" customHeight="1" x14ac:dyDescent="0.25">
      <c r="A11" s="9" t="s">
        <v>48</v>
      </c>
      <c r="B11" s="9" t="s">
        <v>49</v>
      </c>
      <c r="C11" s="9" t="s">
        <v>50</v>
      </c>
      <c r="D11" s="9">
        <v>90</v>
      </c>
      <c r="E11" s="9">
        <v>35</v>
      </c>
      <c r="F11" s="9" t="s">
        <v>34</v>
      </c>
      <c r="H11" s="28" t="str">
        <f t="shared" si="1"/>
        <v>23</v>
      </c>
      <c r="I11" s="28" t="str">
        <f t="shared" si="2"/>
        <v>UK</v>
      </c>
      <c r="J11" s="29" t="str">
        <f t="shared" si="3"/>
        <v>AUG</v>
      </c>
      <c r="K11" s="16" t="s">
        <v>49</v>
      </c>
      <c r="L11" s="16" t="s">
        <v>50</v>
      </c>
      <c r="M11" s="22">
        <v>90</v>
      </c>
      <c r="N11" s="31">
        <v>35</v>
      </c>
      <c r="O11" s="16" t="s">
        <v>34</v>
      </c>
      <c r="P11" s="20">
        <f t="shared" si="0"/>
        <v>3150</v>
      </c>
      <c r="Q11" s="17" t="str">
        <f t="shared" si="4"/>
        <v>Standard Price</v>
      </c>
      <c r="R11" s="19"/>
    </row>
    <row r="12" spans="1:25" ht="15" customHeight="1" x14ac:dyDescent="0.25">
      <c r="A12" s="8" t="s">
        <v>51</v>
      </c>
      <c r="B12" s="8" t="s">
        <v>52</v>
      </c>
      <c r="C12" s="8" t="s">
        <v>53</v>
      </c>
      <c r="D12" s="8">
        <v>500</v>
      </c>
      <c r="E12" s="8">
        <v>50</v>
      </c>
      <c r="F12" s="8" t="s">
        <v>26</v>
      </c>
      <c r="H12" s="27" t="str">
        <f t="shared" si="1"/>
        <v>05</v>
      </c>
      <c r="I12" s="27" t="str">
        <f t="shared" si="2"/>
        <v>UK</v>
      </c>
      <c r="J12" s="15" t="str">
        <f t="shared" si="3"/>
        <v>SEP</v>
      </c>
      <c r="K12" s="15" t="s">
        <v>52</v>
      </c>
      <c r="L12" s="15" t="s">
        <v>53</v>
      </c>
      <c r="M12" s="21">
        <v>500</v>
      </c>
      <c r="N12" s="30">
        <v>50</v>
      </c>
      <c r="O12" s="15" t="s">
        <v>26</v>
      </c>
      <c r="P12" s="21">
        <f t="shared" si="0"/>
        <v>25000</v>
      </c>
      <c r="Q12" s="15" t="str">
        <f t="shared" si="4"/>
        <v>High Price</v>
      </c>
      <c r="R12" s="19"/>
    </row>
    <row r="13" spans="1:25" ht="15" customHeight="1" x14ac:dyDescent="0.25">
      <c r="A13" s="9" t="s">
        <v>54</v>
      </c>
      <c r="B13" s="9" t="s">
        <v>55</v>
      </c>
      <c r="C13" s="9" t="s">
        <v>56</v>
      </c>
      <c r="D13" s="9">
        <v>130</v>
      </c>
      <c r="E13" s="9">
        <v>10</v>
      </c>
      <c r="F13" s="9" t="s">
        <v>41</v>
      </c>
      <c r="H13" s="28" t="str">
        <f t="shared" si="1"/>
        <v>14</v>
      </c>
      <c r="I13" s="28" t="str">
        <f t="shared" si="2"/>
        <v>UK</v>
      </c>
      <c r="J13" s="29" t="str">
        <f t="shared" si="3"/>
        <v>OCT</v>
      </c>
      <c r="K13" s="16" t="s">
        <v>55</v>
      </c>
      <c r="L13" s="16" t="s">
        <v>56</v>
      </c>
      <c r="M13" s="22">
        <v>130</v>
      </c>
      <c r="N13" s="31">
        <v>10</v>
      </c>
      <c r="O13" s="16" t="s">
        <v>41</v>
      </c>
      <c r="P13" s="20">
        <f t="shared" si="0"/>
        <v>1300</v>
      </c>
      <c r="Q13" s="17" t="str">
        <f t="shared" si="4"/>
        <v>Standard Price</v>
      </c>
      <c r="R13" s="19"/>
    </row>
    <row r="14" spans="1:25" ht="15" customHeight="1" x14ac:dyDescent="0.25">
      <c r="A14" s="8" t="s">
        <v>57</v>
      </c>
      <c r="B14" s="8" t="s">
        <v>24</v>
      </c>
      <c r="C14" s="8" t="s">
        <v>58</v>
      </c>
      <c r="D14" s="8">
        <v>950</v>
      </c>
      <c r="E14" s="8">
        <v>25</v>
      </c>
      <c r="F14" s="8" t="s">
        <v>26</v>
      </c>
      <c r="H14" s="27" t="str">
        <f t="shared" si="1"/>
        <v>17</v>
      </c>
      <c r="I14" s="27" t="str">
        <f t="shared" si="2"/>
        <v>IN</v>
      </c>
      <c r="J14" s="15" t="str">
        <f t="shared" si="3"/>
        <v>JUN</v>
      </c>
      <c r="K14" s="15" t="s">
        <v>24</v>
      </c>
      <c r="L14" s="15" t="s">
        <v>58</v>
      </c>
      <c r="M14" s="21">
        <v>950</v>
      </c>
      <c r="N14" s="30">
        <v>25</v>
      </c>
      <c r="O14" s="15" t="s">
        <v>26</v>
      </c>
      <c r="P14" s="21">
        <f t="shared" si="0"/>
        <v>23750</v>
      </c>
      <c r="Q14" s="15" t="str">
        <f t="shared" si="4"/>
        <v>High Price</v>
      </c>
      <c r="R14" s="19"/>
    </row>
    <row r="15" spans="1:25" ht="15" customHeight="1" x14ac:dyDescent="0.25">
      <c r="A15" s="9" t="s">
        <v>59</v>
      </c>
      <c r="B15" s="9" t="s">
        <v>28</v>
      </c>
      <c r="C15" s="9" t="s">
        <v>47</v>
      </c>
      <c r="D15" s="9">
        <v>90</v>
      </c>
      <c r="E15" s="9">
        <v>40</v>
      </c>
      <c r="F15" s="9" t="s">
        <v>30</v>
      </c>
      <c r="H15" s="28" t="str">
        <f t="shared" si="1"/>
        <v>25</v>
      </c>
      <c r="I15" s="28" t="str">
        <f t="shared" si="2"/>
        <v>AU</v>
      </c>
      <c r="J15" s="29" t="str">
        <f t="shared" si="3"/>
        <v>NOV</v>
      </c>
      <c r="K15" s="16" t="s">
        <v>28</v>
      </c>
      <c r="L15" s="16" t="s">
        <v>47</v>
      </c>
      <c r="M15" s="22">
        <v>90</v>
      </c>
      <c r="N15" s="31">
        <v>40</v>
      </c>
      <c r="O15" s="16" t="s">
        <v>30</v>
      </c>
      <c r="P15" s="20">
        <f t="shared" si="0"/>
        <v>3600</v>
      </c>
      <c r="Q15" s="17" t="str">
        <f t="shared" si="4"/>
        <v>Standard Price</v>
      </c>
      <c r="R15" s="19"/>
    </row>
    <row r="16" spans="1:25" ht="15" customHeight="1" x14ac:dyDescent="0.25">
      <c r="A16" s="8" t="s">
        <v>60</v>
      </c>
      <c r="B16" s="8" t="s">
        <v>32</v>
      </c>
      <c r="C16" s="8" t="s">
        <v>61</v>
      </c>
      <c r="D16" s="8">
        <v>120</v>
      </c>
      <c r="E16" s="8">
        <v>35</v>
      </c>
      <c r="F16" s="8" t="s">
        <v>34</v>
      </c>
      <c r="H16" s="27" t="str">
        <f t="shared" si="1"/>
        <v>08</v>
      </c>
      <c r="I16" s="27" t="str">
        <f t="shared" si="2"/>
        <v>DE</v>
      </c>
      <c r="J16" s="15" t="str">
        <f t="shared" si="3"/>
        <v>DEC</v>
      </c>
      <c r="K16" s="15" t="s">
        <v>32</v>
      </c>
      <c r="L16" s="15" t="s">
        <v>61</v>
      </c>
      <c r="M16" s="21">
        <v>120</v>
      </c>
      <c r="N16" s="30">
        <v>35</v>
      </c>
      <c r="O16" s="15" t="s">
        <v>34</v>
      </c>
      <c r="P16" s="21">
        <f t="shared" si="0"/>
        <v>4200</v>
      </c>
      <c r="Q16" s="15" t="str">
        <f t="shared" si="4"/>
        <v>Standard Price</v>
      </c>
      <c r="R16" s="19"/>
    </row>
    <row r="17" spans="1:18" ht="15" customHeight="1" x14ac:dyDescent="0.25">
      <c r="A17" s="9" t="s">
        <v>62</v>
      </c>
      <c r="B17" s="9" t="s">
        <v>63</v>
      </c>
      <c r="C17" s="9" t="s">
        <v>64</v>
      </c>
      <c r="D17" s="9">
        <v>150</v>
      </c>
      <c r="E17" s="9">
        <v>15</v>
      </c>
      <c r="F17" s="9" t="s">
        <v>26</v>
      </c>
      <c r="H17" s="28" t="str">
        <f t="shared" si="1"/>
        <v>18</v>
      </c>
      <c r="I17" s="28" t="str">
        <f t="shared" si="2"/>
        <v>CA</v>
      </c>
      <c r="J17" s="29" t="str">
        <f t="shared" si="3"/>
        <v>FEB</v>
      </c>
      <c r="K17" s="16" t="s">
        <v>63</v>
      </c>
      <c r="L17" s="16" t="s">
        <v>64</v>
      </c>
      <c r="M17" s="22">
        <v>150</v>
      </c>
      <c r="N17" s="31">
        <v>15</v>
      </c>
      <c r="O17" s="16" t="s">
        <v>26</v>
      </c>
      <c r="P17" s="20">
        <f t="shared" si="0"/>
        <v>2250</v>
      </c>
      <c r="Q17" s="17" t="str">
        <f t="shared" si="4"/>
        <v>Standard Price</v>
      </c>
      <c r="R17" s="19"/>
    </row>
    <row r="18" spans="1:18" ht="15" customHeight="1" x14ac:dyDescent="0.25">
      <c r="A18" s="8" t="s">
        <v>65</v>
      </c>
      <c r="B18" s="8" t="s">
        <v>43</v>
      </c>
      <c r="C18" s="8" t="s">
        <v>66</v>
      </c>
      <c r="D18" s="8">
        <v>250</v>
      </c>
      <c r="E18" s="8">
        <v>20</v>
      </c>
      <c r="F18" s="8" t="s">
        <v>26</v>
      </c>
      <c r="H18" s="27" t="str">
        <f t="shared" si="1"/>
        <v>16</v>
      </c>
      <c r="I18" s="27" t="str">
        <f t="shared" si="2"/>
        <v>ES</v>
      </c>
      <c r="J18" s="15" t="str">
        <f t="shared" si="3"/>
        <v>APR</v>
      </c>
      <c r="K18" s="15" t="s">
        <v>43</v>
      </c>
      <c r="L18" s="15" t="s">
        <v>66</v>
      </c>
      <c r="M18" s="21">
        <v>250</v>
      </c>
      <c r="N18" s="30">
        <v>20</v>
      </c>
      <c r="O18" s="15" t="s">
        <v>26</v>
      </c>
      <c r="P18" s="21">
        <f t="shared" si="0"/>
        <v>5000</v>
      </c>
      <c r="Q18" s="15" t="str">
        <f t="shared" si="4"/>
        <v>Standard Price</v>
      </c>
      <c r="R18" s="19"/>
    </row>
    <row r="19" spans="1:18" ht="15" customHeight="1" x14ac:dyDescent="0.25">
      <c r="A19" s="9" t="s">
        <v>67</v>
      </c>
      <c r="B19" s="9" t="s">
        <v>68</v>
      </c>
      <c r="C19" s="9" t="s">
        <v>69</v>
      </c>
      <c r="D19" s="9">
        <v>50</v>
      </c>
      <c r="E19" s="9">
        <v>35</v>
      </c>
      <c r="F19" s="9" t="s">
        <v>70</v>
      </c>
      <c r="H19" s="28" t="str">
        <f t="shared" si="1"/>
        <v>21</v>
      </c>
      <c r="I19" s="28" t="str">
        <f t="shared" si="2"/>
        <v>CA</v>
      </c>
      <c r="J19" s="29" t="str">
        <f t="shared" si="3"/>
        <v>AUG</v>
      </c>
      <c r="K19" s="16" t="s">
        <v>68</v>
      </c>
      <c r="L19" s="16" t="s">
        <v>69</v>
      </c>
      <c r="M19" s="22">
        <v>50</v>
      </c>
      <c r="N19" s="31">
        <v>35</v>
      </c>
      <c r="O19" s="16" t="s">
        <v>70</v>
      </c>
      <c r="P19" s="20">
        <f t="shared" si="0"/>
        <v>1750</v>
      </c>
      <c r="Q19" s="17" t="str">
        <f t="shared" si="4"/>
        <v>Standard Price</v>
      </c>
      <c r="R19" s="19"/>
    </row>
    <row r="20" spans="1:18" ht="15" customHeight="1" x14ac:dyDescent="0.25">
      <c r="A20" s="8" t="s">
        <v>71</v>
      </c>
      <c r="B20" s="8" t="s">
        <v>63</v>
      </c>
      <c r="C20" s="8" t="s">
        <v>72</v>
      </c>
      <c r="D20" s="8">
        <v>160</v>
      </c>
      <c r="E20" s="8">
        <v>15</v>
      </c>
      <c r="F20" s="8" t="s">
        <v>26</v>
      </c>
      <c r="H20" s="27" t="str">
        <f t="shared" si="1"/>
        <v>20</v>
      </c>
      <c r="I20" s="27" t="str">
        <f t="shared" si="2"/>
        <v>CN</v>
      </c>
      <c r="J20" s="15" t="str">
        <f t="shared" si="3"/>
        <v>AUG</v>
      </c>
      <c r="K20" s="15" t="s">
        <v>63</v>
      </c>
      <c r="L20" s="15" t="s">
        <v>72</v>
      </c>
      <c r="M20" s="21">
        <v>160</v>
      </c>
      <c r="N20" s="30">
        <v>15</v>
      </c>
      <c r="O20" s="15" t="s">
        <v>26</v>
      </c>
      <c r="P20" s="21">
        <f t="shared" si="0"/>
        <v>2400</v>
      </c>
      <c r="Q20" s="15" t="str">
        <f t="shared" si="4"/>
        <v>Standard Price</v>
      </c>
      <c r="R20" s="19"/>
    </row>
    <row r="21" spans="1:18" ht="15" customHeight="1" x14ac:dyDescent="0.25">
      <c r="A21" s="9" t="s">
        <v>73</v>
      </c>
      <c r="B21" s="9" t="s">
        <v>24</v>
      </c>
      <c r="C21" s="9" t="s">
        <v>74</v>
      </c>
      <c r="D21" s="9">
        <v>980</v>
      </c>
      <c r="E21" s="9">
        <v>10</v>
      </c>
      <c r="F21" s="9" t="s">
        <v>26</v>
      </c>
      <c r="H21" s="28" t="str">
        <f t="shared" si="1"/>
        <v>27</v>
      </c>
      <c r="I21" s="28" t="str">
        <f t="shared" si="2"/>
        <v>IT</v>
      </c>
      <c r="J21" s="29" t="str">
        <f t="shared" si="3"/>
        <v>JAN</v>
      </c>
      <c r="K21" s="16" t="s">
        <v>24</v>
      </c>
      <c r="L21" s="16" t="s">
        <v>74</v>
      </c>
      <c r="M21" s="22">
        <v>980</v>
      </c>
      <c r="N21" s="31">
        <v>10</v>
      </c>
      <c r="O21" s="16" t="s">
        <v>26</v>
      </c>
      <c r="P21" s="20">
        <f t="shared" si="0"/>
        <v>9800</v>
      </c>
      <c r="Q21" s="17" t="str">
        <f t="shared" si="4"/>
        <v>High Price</v>
      </c>
      <c r="R21" s="19"/>
    </row>
    <row r="22" spans="1:18" ht="15" customHeight="1" x14ac:dyDescent="0.25">
      <c r="A22" s="8" t="s">
        <v>75</v>
      </c>
      <c r="B22" s="8" t="s">
        <v>76</v>
      </c>
      <c r="C22" s="8" t="s">
        <v>77</v>
      </c>
      <c r="D22" s="8">
        <v>150</v>
      </c>
      <c r="E22" s="8">
        <v>15</v>
      </c>
      <c r="F22" s="8" t="s">
        <v>30</v>
      </c>
      <c r="H22" s="27" t="str">
        <f t="shared" si="1"/>
        <v>01</v>
      </c>
      <c r="I22" s="27" t="str">
        <f t="shared" si="2"/>
        <v>UK</v>
      </c>
      <c r="J22" s="15" t="str">
        <f t="shared" si="3"/>
        <v>MAR</v>
      </c>
      <c r="K22" s="15" t="s">
        <v>76</v>
      </c>
      <c r="L22" s="15" t="s">
        <v>77</v>
      </c>
      <c r="M22" s="21">
        <v>150</v>
      </c>
      <c r="N22" s="30">
        <v>15</v>
      </c>
      <c r="O22" s="15" t="s">
        <v>30</v>
      </c>
      <c r="P22" s="21">
        <f t="shared" si="0"/>
        <v>2250</v>
      </c>
      <c r="Q22" s="15" t="str">
        <f t="shared" si="4"/>
        <v>Standard Price</v>
      </c>
      <c r="R22" s="19"/>
    </row>
    <row r="23" spans="1:18" ht="15" customHeight="1" x14ac:dyDescent="0.25">
      <c r="A23" s="9" t="s">
        <v>78</v>
      </c>
      <c r="B23" s="9" t="s">
        <v>79</v>
      </c>
      <c r="C23" s="9" t="s">
        <v>80</v>
      </c>
      <c r="D23" s="9">
        <v>200</v>
      </c>
      <c r="E23" s="9">
        <v>10</v>
      </c>
      <c r="F23" s="9" t="s">
        <v>41</v>
      </c>
      <c r="H23" s="28" t="str">
        <f t="shared" si="1"/>
        <v>14</v>
      </c>
      <c r="I23" s="28" t="str">
        <f t="shared" si="2"/>
        <v>US</v>
      </c>
      <c r="J23" s="29" t="str">
        <f t="shared" si="3"/>
        <v>AUG</v>
      </c>
      <c r="K23" s="16" t="s">
        <v>79</v>
      </c>
      <c r="L23" s="16" t="s">
        <v>80</v>
      </c>
      <c r="M23" s="22">
        <v>200</v>
      </c>
      <c r="N23" s="31">
        <v>10</v>
      </c>
      <c r="O23" s="16" t="s">
        <v>41</v>
      </c>
      <c r="P23" s="20">
        <f t="shared" si="0"/>
        <v>2000</v>
      </c>
      <c r="Q23" s="17" t="str">
        <f t="shared" si="4"/>
        <v>Standard Price</v>
      </c>
      <c r="R23" s="19"/>
    </row>
    <row r="24" spans="1:18" ht="15" customHeight="1" x14ac:dyDescent="0.25">
      <c r="A24" s="8" t="s">
        <v>81</v>
      </c>
      <c r="B24" s="8" t="s">
        <v>82</v>
      </c>
      <c r="C24" s="8" t="s">
        <v>83</v>
      </c>
      <c r="D24" s="8">
        <v>700</v>
      </c>
      <c r="E24" s="8">
        <v>50</v>
      </c>
      <c r="F24" s="8" t="s">
        <v>26</v>
      </c>
      <c r="H24" s="27" t="str">
        <f t="shared" si="1"/>
        <v>14</v>
      </c>
      <c r="I24" s="27" t="str">
        <f t="shared" si="2"/>
        <v>RU</v>
      </c>
      <c r="J24" s="15" t="str">
        <f t="shared" si="3"/>
        <v>MAY</v>
      </c>
      <c r="K24" s="15" t="s">
        <v>82</v>
      </c>
      <c r="L24" s="15" t="s">
        <v>83</v>
      </c>
      <c r="M24" s="21">
        <v>700</v>
      </c>
      <c r="N24" s="30">
        <v>50</v>
      </c>
      <c r="O24" s="15" t="s">
        <v>26</v>
      </c>
      <c r="P24" s="21">
        <f t="shared" si="0"/>
        <v>35000</v>
      </c>
      <c r="Q24" s="15" t="str">
        <f t="shared" si="4"/>
        <v>High Price</v>
      </c>
      <c r="R24" s="19"/>
    </row>
    <row r="25" spans="1:18" ht="15" customHeight="1" x14ac:dyDescent="0.25">
      <c r="A25" s="9" t="s">
        <v>84</v>
      </c>
      <c r="B25" s="9" t="s">
        <v>85</v>
      </c>
      <c r="C25" s="9" t="s">
        <v>86</v>
      </c>
      <c r="D25" s="9">
        <v>80</v>
      </c>
      <c r="E25" s="9">
        <v>20</v>
      </c>
      <c r="F25" s="9" t="s">
        <v>34</v>
      </c>
      <c r="H25" s="28" t="str">
        <f t="shared" si="1"/>
        <v>09</v>
      </c>
      <c r="I25" s="28" t="str">
        <f t="shared" si="2"/>
        <v>CA</v>
      </c>
      <c r="J25" s="29" t="str">
        <f t="shared" si="3"/>
        <v>JAN</v>
      </c>
      <c r="K25" s="16" t="s">
        <v>85</v>
      </c>
      <c r="L25" s="16" t="s">
        <v>86</v>
      </c>
      <c r="M25" s="22">
        <v>80</v>
      </c>
      <c r="N25" s="31">
        <v>20</v>
      </c>
      <c r="O25" s="16" t="s">
        <v>34</v>
      </c>
      <c r="P25" s="20">
        <f t="shared" si="0"/>
        <v>1600</v>
      </c>
      <c r="Q25" s="17" t="str">
        <f t="shared" si="4"/>
        <v>Standard Price</v>
      </c>
      <c r="R25" s="19"/>
    </row>
    <row r="26" spans="1:18" ht="15" customHeight="1" x14ac:dyDescent="0.25">
      <c r="A26" s="8" t="s">
        <v>87</v>
      </c>
      <c r="B26" s="8" t="s">
        <v>88</v>
      </c>
      <c r="C26" s="8" t="s">
        <v>89</v>
      </c>
      <c r="D26" s="8">
        <v>150</v>
      </c>
      <c r="E26" s="8">
        <v>30</v>
      </c>
      <c r="F26" s="8" t="s">
        <v>26</v>
      </c>
      <c r="H26" s="27" t="str">
        <f t="shared" si="1"/>
        <v>19</v>
      </c>
      <c r="I26" s="27" t="str">
        <f t="shared" si="2"/>
        <v>BR</v>
      </c>
      <c r="J26" s="15" t="str">
        <f t="shared" si="3"/>
        <v>JUL</v>
      </c>
      <c r="K26" s="15" t="s">
        <v>88</v>
      </c>
      <c r="L26" s="15" t="s">
        <v>89</v>
      </c>
      <c r="M26" s="21">
        <v>150</v>
      </c>
      <c r="N26" s="30">
        <v>30</v>
      </c>
      <c r="O26" s="15" t="s">
        <v>26</v>
      </c>
      <c r="P26" s="21">
        <f t="shared" si="0"/>
        <v>4500</v>
      </c>
      <c r="Q26" s="15" t="str">
        <f t="shared" si="4"/>
        <v>Standard Price</v>
      </c>
      <c r="R26" s="19"/>
    </row>
    <row r="27" spans="1:18" ht="15" customHeight="1" x14ac:dyDescent="0.25">
      <c r="A27" s="9" t="s">
        <v>67</v>
      </c>
      <c r="B27" s="9" t="s">
        <v>68</v>
      </c>
      <c r="C27" s="9" t="s">
        <v>69</v>
      </c>
      <c r="D27" s="9">
        <v>50</v>
      </c>
      <c r="E27" s="9">
        <v>35</v>
      </c>
      <c r="F27" s="9" t="s">
        <v>70</v>
      </c>
      <c r="H27" s="28" t="str">
        <f t="shared" si="1"/>
        <v>21</v>
      </c>
      <c r="I27" s="28" t="str">
        <f t="shared" si="2"/>
        <v>CA</v>
      </c>
      <c r="J27" s="29" t="str">
        <f t="shared" si="3"/>
        <v>AUG</v>
      </c>
      <c r="K27" s="16" t="s">
        <v>68</v>
      </c>
      <c r="L27" s="16" t="s">
        <v>69</v>
      </c>
      <c r="M27" s="22">
        <v>50</v>
      </c>
      <c r="N27" s="31">
        <v>35</v>
      </c>
      <c r="O27" s="16" t="s">
        <v>70</v>
      </c>
      <c r="P27" s="20">
        <f t="shared" si="0"/>
        <v>1750</v>
      </c>
      <c r="Q27" s="17" t="str">
        <f t="shared" si="4"/>
        <v>Standard Price</v>
      </c>
      <c r="R27" s="19"/>
    </row>
    <row r="28" spans="1:18" ht="15" customHeight="1" x14ac:dyDescent="0.25">
      <c r="A28" s="8" t="s">
        <v>90</v>
      </c>
      <c r="B28" s="8" t="s">
        <v>36</v>
      </c>
      <c r="C28" s="8" t="s">
        <v>91</v>
      </c>
      <c r="D28" s="8">
        <v>800</v>
      </c>
      <c r="E28" s="8">
        <v>45</v>
      </c>
      <c r="F28" s="8" t="s">
        <v>26</v>
      </c>
      <c r="H28" s="27" t="str">
        <f t="shared" si="1"/>
        <v>29</v>
      </c>
      <c r="I28" s="27" t="str">
        <f t="shared" si="2"/>
        <v>CA</v>
      </c>
      <c r="J28" s="15" t="str">
        <f t="shared" si="3"/>
        <v>SEP</v>
      </c>
      <c r="K28" s="15" t="s">
        <v>36</v>
      </c>
      <c r="L28" s="15" t="s">
        <v>91</v>
      </c>
      <c r="M28" s="21">
        <v>800</v>
      </c>
      <c r="N28" s="30">
        <v>45</v>
      </c>
      <c r="O28" s="15" t="s">
        <v>26</v>
      </c>
      <c r="P28" s="21">
        <f t="shared" si="0"/>
        <v>36000</v>
      </c>
      <c r="Q28" s="15" t="str">
        <f t="shared" si="4"/>
        <v>High Price</v>
      </c>
      <c r="R28" s="19"/>
    </row>
    <row r="29" spans="1:18" ht="15" customHeight="1" x14ac:dyDescent="0.25">
      <c r="A29" s="9" t="s">
        <v>92</v>
      </c>
      <c r="B29" s="9" t="s">
        <v>76</v>
      </c>
      <c r="C29" s="9" t="s">
        <v>93</v>
      </c>
      <c r="D29" s="9">
        <v>130</v>
      </c>
      <c r="E29" s="9">
        <v>25</v>
      </c>
      <c r="F29" s="9" t="s">
        <v>30</v>
      </c>
      <c r="H29" s="28" t="str">
        <f t="shared" si="1"/>
        <v>03</v>
      </c>
      <c r="I29" s="28" t="str">
        <f t="shared" si="2"/>
        <v>CA</v>
      </c>
      <c r="J29" s="29" t="str">
        <f t="shared" si="3"/>
        <v>JUN</v>
      </c>
      <c r="K29" s="16" t="s">
        <v>76</v>
      </c>
      <c r="L29" s="16" t="s">
        <v>93</v>
      </c>
      <c r="M29" s="22">
        <v>130</v>
      </c>
      <c r="N29" s="31">
        <v>25</v>
      </c>
      <c r="O29" s="16" t="s">
        <v>30</v>
      </c>
      <c r="P29" s="20">
        <f t="shared" si="0"/>
        <v>3250</v>
      </c>
      <c r="Q29" s="17" t="str">
        <f t="shared" si="4"/>
        <v>Standard Price</v>
      </c>
      <c r="R29" s="19"/>
    </row>
    <row r="30" spans="1:18" ht="15" customHeight="1" x14ac:dyDescent="0.25">
      <c r="A30" s="8" t="s">
        <v>94</v>
      </c>
      <c r="B30" s="8" t="s">
        <v>49</v>
      </c>
      <c r="C30" s="8" t="s">
        <v>95</v>
      </c>
      <c r="D30" s="8">
        <v>400</v>
      </c>
      <c r="E30" s="8">
        <v>40</v>
      </c>
      <c r="F30" s="8" t="s">
        <v>34</v>
      </c>
      <c r="H30" s="27" t="str">
        <f t="shared" si="1"/>
        <v>11</v>
      </c>
      <c r="I30" s="27" t="str">
        <f t="shared" si="2"/>
        <v>CA</v>
      </c>
      <c r="J30" s="15" t="str">
        <f t="shared" si="3"/>
        <v>JUL</v>
      </c>
      <c r="K30" s="15" t="s">
        <v>49</v>
      </c>
      <c r="L30" s="15" t="s">
        <v>95</v>
      </c>
      <c r="M30" s="21">
        <v>400</v>
      </c>
      <c r="N30" s="30">
        <v>40</v>
      </c>
      <c r="O30" s="15" t="s">
        <v>34</v>
      </c>
      <c r="P30" s="21">
        <f t="shared" si="0"/>
        <v>16000</v>
      </c>
      <c r="Q30" s="15" t="str">
        <f t="shared" si="4"/>
        <v>Standard Price</v>
      </c>
      <c r="R30" s="19"/>
    </row>
    <row r="31" spans="1:18" ht="15" customHeight="1" x14ac:dyDescent="0.25">
      <c r="A31" s="9" t="s">
        <v>65</v>
      </c>
      <c r="B31" s="9" t="s">
        <v>43</v>
      </c>
      <c r="C31" s="9" t="s">
        <v>66</v>
      </c>
      <c r="D31" s="9">
        <v>230</v>
      </c>
      <c r="E31" s="9">
        <v>20</v>
      </c>
      <c r="F31" s="9" t="s">
        <v>26</v>
      </c>
      <c r="H31" s="28" t="str">
        <f t="shared" si="1"/>
        <v>16</v>
      </c>
      <c r="I31" s="28" t="str">
        <f t="shared" si="2"/>
        <v>ES</v>
      </c>
      <c r="J31" s="29" t="str">
        <f t="shared" si="3"/>
        <v>APR</v>
      </c>
      <c r="K31" s="16" t="s">
        <v>43</v>
      </c>
      <c r="L31" s="16" t="s">
        <v>66</v>
      </c>
      <c r="M31" s="22">
        <v>230</v>
      </c>
      <c r="N31" s="31">
        <v>20</v>
      </c>
      <c r="O31" s="16" t="s">
        <v>26</v>
      </c>
      <c r="P31" s="20">
        <f t="shared" si="0"/>
        <v>4600</v>
      </c>
      <c r="Q31" s="17" t="str">
        <f t="shared" si="4"/>
        <v>Standard Price</v>
      </c>
      <c r="R31" s="19"/>
    </row>
    <row r="32" spans="1:18" ht="15" customHeight="1" x14ac:dyDescent="0.25">
      <c r="A32" s="8" t="s">
        <v>96</v>
      </c>
      <c r="B32" s="8" t="s">
        <v>97</v>
      </c>
      <c r="C32" s="8" t="s">
        <v>98</v>
      </c>
      <c r="D32" s="8">
        <v>60</v>
      </c>
      <c r="E32" s="8">
        <v>30</v>
      </c>
      <c r="F32" s="8" t="s">
        <v>30</v>
      </c>
      <c r="H32" s="27" t="str">
        <f t="shared" si="1"/>
        <v>07</v>
      </c>
      <c r="I32" s="27" t="str">
        <f t="shared" si="2"/>
        <v>CA</v>
      </c>
      <c r="J32" s="15" t="str">
        <f t="shared" si="3"/>
        <v>MAR</v>
      </c>
      <c r="K32" s="15" t="s">
        <v>97</v>
      </c>
      <c r="L32" s="15" t="s">
        <v>98</v>
      </c>
      <c r="M32" s="21">
        <v>60</v>
      </c>
      <c r="N32" s="30">
        <v>30</v>
      </c>
      <c r="O32" s="15" t="s">
        <v>30</v>
      </c>
      <c r="P32" s="21">
        <f t="shared" si="0"/>
        <v>1800</v>
      </c>
      <c r="Q32" s="15" t="str">
        <f t="shared" si="4"/>
        <v>Standard Price</v>
      </c>
      <c r="R32" s="19"/>
    </row>
    <row r="33" spans="1:18" ht="15" customHeight="1" x14ac:dyDescent="0.25">
      <c r="A33" s="9" t="s">
        <v>99</v>
      </c>
      <c r="B33" s="9" t="s">
        <v>100</v>
      </c>
      <c r="C33" s="9" t="s">
        <v>101</v>
      </c>
      <c r="D33" s="9">
        <v>40</v>
      </c>
      <c r="E33" s="9">
        <v>10</v>
      </c>
      <c r="F33" s="9" t="s">
        <v>34</v>
      </c>
      <c r="H33" s="28" t="str">
        <f t="shared" si="1"/>
        <v>13</v>
      </c>
      <c r="I33" s="28" t="str">
        <f t="shared" si="2"/>
        <v>CA</v>
      </c>
      <c r="J33" s="29" t="str">
        <f t="shared" si="3"/>
        <v>APR</v>
      </c>
      <c r="K33" s="16" t="s">
        <v>100</v>
      </c>
      <c r="L33" s="16" t="s">
        <v>101</v>
      </c>
      <c r="M33" s="22">
        <v>40</v>
      </c>
      <c r="N33" s="31">
        <v>10</v>
      </c>
      <c r="O33" s="16" t="s">
        <v>34</v>
      </c>
      <c r="P33" s="20">
        <f t="shared" si="0"/>
        <v>400</v>
      </c>
      <c r="Q33" s="17" t="str">
        <f t="shared" si="4"/>
        <v>Standard Price</v>
      </c>
      <c r="R33" s="19"/>
    </row>
    <row r="34" spans="1:18" ht="15" customHeight="1" x14ac:dyDescent="0.25">
      <c r="A34" s="8" t="s">
        <v>102</v>
      </c>
      <c r="B34" s="8" t="s">
        <v>88</v>
      </c>
      <c r="C34" s="8" t="s">
        <v>103</v>
      </c>
      <c r="D34" s="8">
        <v>130</v>
      </c>
      <c r="E34" s="8">
        <v>5</v>
      </c>
      <c r="F34" s="8" t="s">
        <v>26</v>
      </c>
      <c r="H34" s="27" t="str">
        <f t="shared" si="1"/>
        <v>24</v>
      </c>
      <c r="I34" s="27" t="str">
        <f t="shared" si="2"/>
        <v>CA</v>
      </c>
      <c r="J34" s="15" t="str">
        <f t="shared" si="3"/>
        <v>MAY</v>
      </c>
      <c r="K34" s="15" t="s">
        <v>88</v>
      </c>
      <c r="L34" s="15" t="s">
        <v>103</v>
      </c>
      <c r="M34" s="21">
        <v>130</v>
      </c>
      <c r="N34" s="30">
        <v>5</v>
      </c>
      <c r="O34" s="15" t="s">
        <v>26</v>
      </c>
      <c r="P34" s="21">
        <f t="shared" si="0"/>
        <v>650</v>
      </c>
      <c r="Q34" s="15" t="str">
        <f t="shared" si="4"/>
        <v>Standard Price</v>
      </c>
      <c r="R34" s="19"/>
    </row>
    <row r="35" spans="1:18" ht="15" customHeight="1" x14ac:dyDescent="0.25">
      <c r="A35" s="9" t="s">
        <v>104</v>
      </c>
      <c r="B35" s="9" t="s">
        <v>105</v>
      </c>
      <c r="C35" s="9" t="s">
        <v>106</v>
      </c>
      <c r="D35" s="9">
        <v>50</v>
      </c>
      <c r="E35" s="9">
        <v>50</v>
      </c>
      <c r="F35" s="9" t="s">
        <v>30</v>
      </c>
      <c r="H35" s="28" t="str">
        <f t="shared" si="1"/>
        <v>02</v>
      </c>
      <c r="I35" s="28" t="str">
        <f t="shared" si="2"/>
        <v>CA</v>
      </c>
      <c r="J35" s="29" t="str">
        <f t="shared" si="3"/>
        <v>DEC</v>
      </c>
      <c r="K35" s="16" t="s">
        <v>105</v>
      </c>
      <c r="L35" s="16" t="s">
        <v>106</v>
      </c>
      <c r="M35" s="22">
        <v>50</v>
      </c>
      <c r="N35" s="31">
        <v>50</v>
      </c>
      <c r="O35" s="16" t="s">
        <v>30</v>
      </c>
      <c r="P35" s="20">
        <f t="shared" si="0"/>
        <v>2500</v>
      </c>
      <c r="Q35" s="17" t="str">
        <f t="shared" si="4"/>
        <v>Standard Price</v>
      </c>
      <c r="R35" s="19"/>
    </row>
    <row r="36" spans="1:18" ht="15" customHeight="1" x14ac:dyDescent="0.25">
      <c r="A36" s="8" t="s">
        <v>57</v>
      </c>
      <c r="B36" s="8" t="s">
        <v>24</v>
      </c>
      <c r="C36" s="8" t="s">
        <v>58</v>
      </c>
      <c r="D36" s="8">
        <v>950</v>
      </c>
      <c r="E36" s="8">
        <v>25</v>
      </c>
      <c r="F36" s="8" t="s">
        <v>26</v>
      </c>
      <c r="H36" s="27" t="str">
        <f t="shared" si="1"/>
        <v>17</v>
      </c>
      <c r="I36" s="27" t="str">
        <f t="shared" si="2"/>
        <v>IN</v>
      </c>
      <c r="J36" s="15" t="str">
        <f t="shared" si="3"/>
        <v>JUN</v>
      </c>
      <c r="K36" s="15" t="s">
        <v>24</v>
      </c>
      <c r="L36" s="15" t="s">
        <v>58</v>
      </c>
      <c r="M36" s="21">
        <v>950</v>
      </c>
      <c r="N36" s="30">
        <v>25</v>
      </c>
      <c r="O36" s="15" t="s">
        <v>26</v>
      </c>
      <c r="P36" s="21">
        <f t="shared" si="0"/>
        <v>23750</v>
      </c>
      <c r="Q36" s="15" t="str">
        <f t="shared" si="4"/>
        <v>High Price</v>
      </c>
      <c r="R36" s="19"/>
    </row>
    <row r="37" spans="1:18" ht="15" customHeight="1" x14ac:dyDescent="0.25">
      <c r="A37" s="9" t="s">
        <v>107</v>
      </c>
      <c r="B37" s="9" t="s">
        <v>108</v>
      </c>
      <c r="C37" s="9" t="s">
        <v>109</v>
      </c>
      <c r="D37" s="9">
        <v>100</v>
      </c>
      <c r="E37" s="9">
        <v>20</v>
      </c>
      <c r="F37" s="9" t="s">
        <v>70</v>
      </c>
      <c r="H37" s="28" t="str">
        <f t="shared" si="1"/>
        <v>09</v>
      </c>
      <c r="I37" s="28" t="str">
        <f t="shared" si="2"/>
        <v>FR</v>
      </c>
      <c r="J37" s="29" t="str">
        <f t="shared" si="3"/>
        <v>JUL</v>
      </c>
      <c r="K37" s="16" t="s">
        <v>108</v>
      </c>
      <c r="L37" s="16" t="s">
        <v>109</v>
      </c>
      <c r="M37" s="22">
        <v>100</v>
      </c>
      <c r="N37" s="31">
        <v>20</v>
      </c>
      <c r="O37" s="16" t="s">
        <v>70</v>
      </c>
      <c r="P37" s="20">
        <f t="shared" si="0"/>
        <v>2000</v>
      </c>
      <c r="Q37" s="17" t="str">
        <f t="shared" si="4"/>
        <v>Standard Price</v>
      </c>
      <c r="R37" s="19"/>
    </row>
  </sheetData>
  <mergeCells count="2">
    <mergeCell ref="B1:E1"/>
    <mergeCell ref="K1:P1"/>
  </mergeCells>
  <conditionalFormatting sqref="Q4:Q37">
    <cfRule type="containsText" dxfId="12" priority="1" operator="containsText" text="High Price">
      <formula>NOT(ISERROR(SEARCH("High Price",Q4)))</formula>
    </cfRule>
  </conditionalFormatting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Excel 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Selvi Vincent</cp:lastModifiedBy>
  <dcterms:modified xsi:type="dcterms:W3CDTF">2026-03-30T22:04:47Z</dcterms:modified>
</cp:coreProperties>
</file>