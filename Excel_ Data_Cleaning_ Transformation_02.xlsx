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96d35bd0170492b1/Desktop/JOSEPH DELMON/Cleaned DATA - Assignment/"/>
    </mc:Choice>
  </mc:AlternateContent>
  <xr:revisionPtr revIDLastSave="0" documentId="8_{6C94B779-EAA1-4F41-BBFD-8CA571A3F32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3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K4" i="2" l="1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16" i="2"/>
  <c r="Q4" i="2"/>
  <c r="K5" i="2"/>
  <c r="K6" i="2"/>
  <c r="K7" i="2"/>
  <c r="K8" i="2"/>
  <c r="K9" i="2"/>
  <c r="K10" i="2"/>
  <c r="K11" i="2"/>
  <c r="K12" i="2"/>
  <c r="K13" i="2"/>
  <c r="K14" i="2"/>
  <c r="K15" i="2"/>
  <c r="R4" i="2"/>
</calcChain>
</file>

<file path=xl/sharedStrings.xml><?xml version="1.0" encoding="utf-8"?>
<sst xmlns="http://schemas.openxmlformats.org/spreadsheetml/2006/main" count="337" uniqueCount="165">
  <si>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</si>
  <si>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</si>
  <si>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</si>
  <si>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</si>
  <si>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</si>
  <si>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</si>
  <si>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</si>
  <si>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</si>
  <si>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</si>
  <si>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</si>
  <si>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</si>
  <si>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</si>
  <si>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</si>
  <si>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</si>
  <si>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</si>
  <si>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</si>
  <si>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</si>
  <si>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</si>
  <si>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</si>
  <si>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</si>
  <si>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</si>
  <si>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</si>
  <si>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</si>
  <si>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</si>
  <si>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</si>
  <si>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</si>
  <si>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</si>
  <si>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</si>
  <si>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</si>
  <si>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</si>
  <si>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</si>
  <si>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</si>
  <si>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</si>
  <si>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</si>
  <si>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</si>
  <si>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</si>
  <si>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</si>
  <si>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</si>
  <si>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</si>
  <si>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</si>
  <si>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</si>
  <si>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</si>
  <si>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</si>
  <si>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</si>
  <si>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</si>
  <si>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</si>
  <si>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</si>
  <si>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</si>
  <si>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</si>
  <si>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</si>
  <si>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</si>
  <si>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</si>
  <si>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</si>
  <si>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</si>
  <si>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</si>
  <si>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</si>
  <si>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</si>
  <si>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</si>
  <si>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</si>
  <si>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</si>
  <si>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</si>
  <si>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</si>
  <si>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</si>
  <si>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</si>
  <si>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</si>
  <si>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</si>
  <si>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</si>
  <si>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</si>
  <si>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</si>
  <si>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</si>
  <si>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</si>
  <si>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</si>
  <si>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</si>
  <si>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</si>
  <si>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</si>
  <si>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</si>
  <si>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</si>
  <si>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</si>
  <si>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</si>
  <si>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</si>
  <si>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</si>
  <si>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</si>
  <si>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</si>
  <si>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</si>
  <si>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</si>
  <si>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</si>
  <si>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</si>
  <si>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</si>
  <si>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</si>
  <si>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</si>
  <si>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</si>
  <si>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</si>
  <si>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</si>
  <si>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</si>
  <si>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</si>
  <si>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</si>
  <si>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</si>
  <si>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RAW DATA</t>
  </si>
  <si>
    <t>PROCESSED DATA</t>
  </si>
  <si>
    <t>PRODUCT NAME</t>
  </si>
  <si>
    <t>BRAND NAME</t>
  </si>
  <si>
    <t>PRICE ($)</t>
  </si>
  <si>
    <t>QUANTITY</t>
  </si>
  <si>
    <t>CATEGORY</t>
  </si>
  <si>
    <t>JAN</t>
  </si>
  <si>
    <t>US</t>
  </si>
  <si>
    <t>FEB</t>
  </si>
  <si>
    <t>MAR</t>
  </si>
  <si>
    <t>APR</t>
  </si>
  <si>
    <t>MAY</t>
  </si>
  <si>
    <t>JUN</t>
  </si>
  <si>
    <t>UK</t>
  </si>
  <si>
    <t>JUL</t>
  </si>
  <si>
    <t>AUG</t>
  </si>
  <si>
    <t>SEP</t>
  </si>
  <si>
    <t>OCT</t>
  </si>
  <si>
    <t>IN</t>
  </si>
  <si>
    <t>NOV</t>
  </si>
  <si>
    <t>AU</t>
  </si>
  <si>
    <t>DEC</t>
  </si>
  <si>
    <t>DE</t>
  </si>
  <si>
    <t>CA</t>
  </si>
  <si>
    <t>ES</t>
  </si>
  <si>
    <t>CN</t>
  </si>
  <si>
    <t>IT</t>
  </si>
  <si>
    <t>RU</t>
  </si>
  <si>
    <t>BR</t>
  </si>
  <si>
    <t>FR</t>
  </si>
  <si>
    <t>DAY</t>
  </si>
  <si>
    <t>MONTH</t>
  </si>
  <si>
    <t>COUNTRY CODE</t>
  </si>
  <si>
    <t>Data Cleaning, Transformation &amp; Formatting Summary</t>
  </si>
  <si>
    <r>
      <t xml:space="preserve">I identified inconsistent category values (e.g., </t>
    </r>
    <r>
      <rPr>
        <i/>
        <sz val="10"/>
        <color rgb="FF000000"/>
        <rFont val="Arial"/>
        <family val="2"/>
        <scheme val="minor"/>
      </rPr>
      <t>“Electroni”</t>
    </r>
    <r>
      <rPr>
        <sz val="10"/>
        <color rgb="FF000000"/>
        <rFont val="Arial"/>
        <family val="2"/>
        <scheme val="minor"/>
      </rPr>
      <t xml:space="preserve">) and standardized them to </t>
    </r>
    <r>
      <rPr>
        <i/>
        <sz val="10"/>
        <color rgb="FF000000"/>
        <rFont val="Arial"/>
        <family val="2"/>
        <scheme val="minor"/>
      </rPr>
      <t>“Electronics”</t>
    </r>
    <r>
      <rPr>
        <sz val="10"/>
        <color rgb="FF000000"/>
        <rFont val="Arial"/>
        <family val="2"/>
        <scheme val="minor"/>
      </rPr>
      <t xml:space="preserve"> using </t>
    </r>
    <r>
      <rPr>
        <b/>
        <sz val="10"/>
        <color rgb="FF000000"/>
        <rFont val="Arial"/>
        <family val="2"/>
        <scheme val="minor"/>
      </rPr>
      <t>Find &amp; Replace</t>
    </r>
    <r>
      <rPr>
        <sz val="10"/>
        <color rgb="FF000000"/>
        <rFont val="Arial"/>
        <family val="2"/>
        <scheme val="minor"/>
      </rPr>
      <t>, ensuring uniform category labeling across the dataset.</t>
    </r>
  </si>
  <si>
    <r>
      <t xml:space="preserve">I applied the </t>
    </r>
    <r>
      <rPr>
        <b/>
        <sz val="10"/>
        <color rgb="FF000000"/>
        <rFont val="Arial"/>
        <family val="2"/>
        <scheme val="minor"/>
      </rPr>
      <t>Remove Duplicates</t>
    </r>
    <r>
      <rPr>
        <sz val="10"/>
        <color rgb="FF000000"/>
        <rFont val="Arial"/>
        <family val="2"/>
        <scheme val="minor"/>
      </rPr>
      <t xml:space="preserve"> feature in Excel by selecting </t>
    </r>
    <r>
      <rPr>
        <b/>
        <sz val="10"/>
        <color rgb="FF000000"/>
        <rFont val="Arial"/>
        <family val="2"/>
        <scheme val="minor"/>
      </rPr>
      <t>all columns</t>
    </r>
    <r>
      <rPr>
        <sz val="10"/>
        <color rgb="FF000000"/>
        <rFont val="Arial"/>
        <family val="2"/>
        <scheme val="minor"/>
      </rPr>
      <t xml:space="preserve"> to ensure that only completely identical records were eliminated. As a result, Excel detected and successfully removed </t>
    </r>
    <r>
      <rPr>
        <b/>
        <sz val="10"/>
        <color rgb="FF000000"/>
        <rFont val="Arial"/>
        <family val="2"/>
        <scheme val="minor"/>
      </rPr>
      <t>3 duplicate records</t>
    </r>
    <r>
      <rPr>
        <sz val="10"/>
        <color rgb="FF000000"/>
        <rFont val="Arial"/>
        <family val="2"/>
        <scheme val="minor"/>
      </rPr>
      <t>, leaving only unique rows in the dataset.</t>
    </r>
  </si>
  <si>
    <t>Removed Duplicate Records:</t>
  </si>
  <si>
    <t>17-JUN-IN | Laptop | HP | 950 | 25 | Electronics</t>
  </si>
  <si>
    <t>21-AUG-CA | Laptop Bag | Samsonite | 50 | 35 | Accessories</t>
  </si>
  <si>
    <t>16-APR-ES | Headphones | Bose | 250 | 20 | Electronics</t>
  </si>
  <si>
    <r>
      <t xml:space="preserve">I calculated the </t>
    </r>
    <r>
      <rPr>
        <b/>
        <sz val="10"/>
        <color rgb="FF000000"/>
        <rFont val="Arial"/>
        <family val="2"/>
        <scheme val="minor"/>
      </rPr>
      <t>overall average price</t>
    </r>
    <r>
      <rPr>
        <sz val="10"/>
        <color rgb="FF000000"/>
        <rFont val="Arial"/>
        <family val="2"/>
        <scheme val="minor"/>
      </rPr>
      <t xml:space="preserve"> using the </t>
    </r>
    <r>
      <rPr>
        <b/>
        <sz val="10"/>
        <color rgb="FF000000"/>
        <rFont val="Arial"/>
        <family val="2"/>
        <scheme val="minor"/>
      </rPr>
      <t>AVERAGE</t>
    </r>
    <r>
      <rPr>
        <sz val="10"/>
        <color rgb="FF000000"/>
        <rFont val="Arial"/>
        <family val="2"/>
        <scheme val="minor"/>
      </rPr>
      <t xml:space="preserve"> function with the formula:</t>
    </r>
  </si>
  <si>
    <r>
      <t xml:space="preserve">I standardized the </t>
    </r>
    <r>
      <rPr>
        <b/>
        <sz val="10"/>
        <color rgb="FF000000"/>
        <rFont val="Arial"/>
        <family val="2"/>
        <scheme val="minor"/>
      </rPr>
      <t>Product Name</t>
    </r>
    <r>
      <rPr>
        <sz val="10"/>
        <color rgb="FF000000"/>
        <rFont val="Arial"/>
        <family val="2"/>
        <scheme val="minor"/>
      </rPr>
      <t xml:space="preserve"> column by applying the </t>
    </r>
    <r>
      <rPr>
        <b/>
        <sz val="10"/>
        <color rgb="FF000000"/>
        <rFont val="Arial"/>
        <family val="2"/>
        <scheme val="minor"/>
      </rPr>
      <t>PROPER</t>
    </r>
    <r>
      <rPr>
        <sz val="10"/>
        <color rgb="FF000000"/>
        <rFont val="Arial"/>
        <family val="2"/>
        <scheme val="minor"/>
      </rPr>
      <t xml:space="preserve"> function to ensure consistent capitalization.</t>
    </r>
  </si>
  <si>
    <r>
      <t xml:space="preserve">I cleaned the </t>
    </r>
    <r>
      <rPr>
        <b/>
        <sz val="10"/>
        <color rgb="FF000000"/>
        <rFont val="Arial"/>
        <family val="2"/>
        <scheme val="minor"/>
      </rPr>
      <t>Product ID</t>
    </r>
    <r>
      <rPr>
        <sz val="10"/>
        <color rgb="FF000000"/>
        <rFont val="Arial"/>
        <family val="2"/>
        <scheme val="minor"/>
      </rPr>
      <t xml:space="preserve"> by splitting it using </t>
    </r>
    <r>
      <rPr>
        <b/>
        <sz val="10"/>
        <color rgb="FF000000"/>
        <rFont val="Arial"/>
        <family val="2"/>
        <scheme val="minor"/>
      </rPr>
      <t>Text to Columns (Delimited)</t>
    </r>
    <r>
      <rPr>
        <sz val="10"/>
        <color rgb="FF000000"/>
        <rFont val="Arial"/>
        <family val="2"/>
        <scheme val="minor"/>
      </rPr>
      <t xml:space="preserve"> and then recombining the cleaned values using the </t>
    </r>
    <r>
      <rPr>
        <b/>
        <sz val="10"/>
        <color rgb="FF000000"/>
        <rFont val="Arial"/>
        <family val="2"/>
        <scheme val="minor"/>
      </rPr>
      <t>CONCAT</t>
    </r>
    <r>
      <rPr>
        <sz val="10"/>
        <color rgb="FF000000"/>
        <rFont val="Arial"/>
        <family val="2"/>
        <scheme val="minor"/>
      </rPr>
      <t xml:space="preserve"> function.</t>
    </r>
  </si>
  <si>
    <r>
      <t xml:space="preserve">I applied </t>
    </r>
    <r>
      <rPr>
        <b/>
        <sz val="10"/>
        <color rgb="FF000000"/>
        <rFont val="Arial"/>
        <family val="2"/>
        <scheme val="minor"/>
      </rPr>
      <t>Data Bars</t>
    </r>
    <r>
      <rPr>
        <sz val="10"/>
        <color rgb="FF000000"/>
        <rFont val="Arial"/>
        <family val="2"/>
        <scheme val="minor"/>
      </rPr>
      <t xml:space="preserve"> to the </t>
    </r>
    <r>
      <rPr>
        <b/>
        <sz val="10"/>
        <color rgb="FF000000"/>
        <rFont val="Arial"/>
        <family val="2"/>
        <scheme val="minor"/>
      </rPr>
      <t>Price</t>
    </r>
    <r>
      <rPr>
        <sz val="10"/>
        <color rgb="FF000000"/>
        <rFont val="Arial"/>
        <family val="2"/>
        <scheme val="minor"/>
      </rPr>
      <t xml:space="preserve"> column to visually represent price distribution.</t>
    </r>
  </si>
  <si>
    <r>
      <t xml:space="preserve">I created a </t>
    </r>
    <r>
      <rPr>
        <b/>
        <sz val="10"/>
        <color rgb="FF000000"/>
        <rFont val="Arial"/>
        <family val="2"/>
        <scheme val="minor"/>
      </rPr>
      <t>custom Conditional Formatting rule</t>
    </r>
    <r>
      <rPr>
        <sz val="10"/>
        <color rgb="FF000000"/>
        <rFont val="Arial"/>
        <family val="2"/>
        <scheme val="minor"/>
      </rPr>
      <t xml:space="preserve"> to highlight and bold all </t>
    </r>
    <r>
      <rPr>
        <b/>
        <sz val="10"/>
        <color rgb="FF000000"/>
        <rFont val="Arial"/>
        <family val="2"/>
        <scheme val="minor"/>
      </rPr>
      <t>“Electronics”</t>
    </r>
    <r>
      <rPr>
        <sz val="10"/>
        <color rgb="FF000000"/>
        <rFont val="Arial"/>
        <family val="2"/>
        <scheme val="minor"/>
      </rPr>
      <t xml:space="preserve"> entries in the </t>
    </r>
    <r>
      <rPr>
        <b/>
        <sz val="10"/>
        <color rgb="FF000000"/>
        <rFont val="Arial"/>
        <family val="2"/>
        <scheme val="minor"/>
      </rPr>
      <t>Category</t>
    </r>
    <r>
      <rPr>
        <sz val="10"/>
        <color rgb="FF000000"/>
        <rFont val="Arial"/>
        <family val="2"/>
        <scheme val="minor"/>
      </rPr>
      <t xml:space="preserve"> column for quick identification.</t>
    </r>
  </si>
  <si>
    <r>
      <t xml:space="preserve">I formatted the </t>
    </r>
    <r>
      <rPr>
        <b/>
        <sz val="10"/>
        <color rgb="FF000000"/>
        <rFont val="Arial"/>
        <family val="2"/>
        <scheme val="minor"/>
      </rPr>
      <t>Price</t>
    </r>
    <r>
      <rPr>
        <sz val="10"/>
        <color rgb="FF000000"/>
        <rFont val="Arial"/>
        <family val="2"/>
        <scheme val="minor"/>
      </rPr>
      <t xml:space="preserve"> column in </t>
    </r>
    <r>
      <rPr>
        <b/>
        <sz val="10"/>
        <color rgb="FF000000"/>
        <rFont val="Arial"/>
        <family val="2"/>
        <scheme val="minor"/>
      </rPr>
      <t>Currency format</t>
    </r>
    <r>
      <rPr>
        <sz val="10"/>
        <color rgb="FF000000"/>
        <rFont val="Arial"/>
        <family val="2"/>
        <scheme val="minor"/>
      </rPr>
      <t xml:space="preserve"> and ensured that all </t>
    </r>
    <r>
      <rPr>
        <b/>
        <sz val="10"/>
        <color rgb="FF000000"/>
        <rFont val="Arial"/>
        <family val="2"/>
        <scheme val="minor"/>
      </rPr>
      <t>Date values followed the DD-MM-YYYY format</t>
    </r>
    <r>
      <rPr>
        <sz val="10"/>
        <color rgb="FF000000"/>
        <rFont val="Arial"/>
        <family val="2"/>
        <scheme val="minor"/>
      </rPr>
      <t>.</t>
    </r>
  </si>
  <si>
    <t>AVERAGE($K$4:$K$34)</t>
  </si>
  <si>
    <t>PRODUCT ID</t>
  </si>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</sst>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6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3.5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10"/>
      <color rgb="FF000000"/>
      <name val="Arial Unicode MS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E0F7FA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</cellStyleXfs>
  <cellXfs count="64">
    <xf numFmtId="0" fontId="0" fillId="0" borderId="0" xfId="0" applyFont="1" applyAlignment="1"/>
    <xf numFmtId="0" fontId="3" fillId="0" borderId="0" xfId="0" applyFont="1" applyAlignment="1"/>
    <xf numFmtId="0" fontId="4" fillId="2" borderId="0" xfId="0" applyFont="1" applyFill="1" applyAlignment="1">
      <alignment horizontal="center"/>
    </xf>
    <xf numFmtId="0" fontId="3" fillId="0" borderId="0" xfId="0" applyFont="1"/>
    <xf numFmtId="0" fontId="3" fillId="3" borderId="0" xfId="0" applyFont="1" applyFill="1"/>
    <xf numFmtId="0" fontId="2" fillId="4" borderId="3" xfId="1" applyBorder="1" applyAlignment="1">
      <alignment horizontal="center" vertical="center"/>
    </xf>
    <xf numFmtId="0" fontId="2" fillId="4" borderId="4" xfId="1" applyBorder="1" applyAlignment="1">
      <alignment horizontal="center" vertical="center"/>
    </xf>
    <xf numFmtId="0" fontId="3" fillId="0" borderId="1" xfId="0" applyFont="1" applyBorder="1"/>
    <xf numFmtId="0" fontId="3" fillId="0" borderId="6" xfId="0" applyFont="1" applyBorder="1"/>
    <xf numFmtId="0" fontId="3" fillId="3" borderId="1" xfId="0" applyFont="1" applyFill="1" applyBorder="1"/>
    <xf numFmtId="0" fontId="3" fillId="3" borderId="6" xfId="0" applyFont="1" applyFill="1" applyBorder="1"/>
    <xf numFmtId="0" fontId="3" fillId="7" borderId="0" xfId="0" applyFont="1" applyFill="1"/>
    <xf numFmtId="0" fontId="3" fillId="8" borderId="0" xfId="0" applyFont="1" applyFill="1"/>
    <xf numFmtId="0" fontId="5" fillId="0" borderId="1" xfId="0" applyFont="1" applyBorder="1"/>
    <xf numFmtId="0" fontId="3" fillId="3" borderId="0" xfId="0" applyNumberFormat="1" applyFont="1" applyFill="1"/>
    <xf numFmtId="15" fontId="2" fillId="4" borderId="2" xfId="1" applyNumberFormat="1" applyBorder="1" applyAlignment="1">
      <alignment horizontal="center" vertical="center"/>
    </xf>
    <xf numFmtId="1" fontId="0" fillId="0" borderId="0" xfId="0" applyNumberFormat="1" applyFont="1" applyAlignment="1"/>
    <xf numFmtId="0" fontId="5" fillId="3" borderId="1" xfId="0" applyFont="1" applyFill="1" applyBorder="1"/>
    <xf numFmtId="164" fontId="2" fillId="4" borderId="3" xfId="1" applyNumberFormat="1" applyBorder="1" applyAlignment="1">
      <alignment horizontal="center" vertical="center"/>
    </xf>
    <xf numFmtId="164" fontId="3" fillId="0" borderId="1" xfId="0" applyNumberFormat="1" applyFont="1" applyBorder="1"/>
    <xf numFmtId="164" fontId="3" fillId="3" borderId="1" xfId="0" applyNumberFormat="1" applyFont="1" applyFill="1" applyBorder="1"/>
    <xf numFmtId="164" fontId="5" fillId="0" borderId="1" xfId="0" applyNumberFormat="1" applyFont="1" applyBorder="1"/>
    <xf numFmtId="0" fontId="8" fillId="0" borderId="0" xfId="0" applyFont="1" applyAlignment="1"/>
    <xf numFmtId="0" fontId="5" fillId="0" borderId="6" xfId="0" applyFont="1" applyBorder="1"/>
    <xf numFmtId="0" fontId="5" fillId="3" borderId="6" xfId="0" applyFont="1" applyFill="1" applyBorder="1"/>
    <xf numFmtId="15" fontId="1" fillId="4" borderId="2" xfId="1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7" fillId="6" borderId="10" xfId="2" applyFont="1" applyFill="1" applyBorder="1" applyAlignment="1">
      <alignment horizontal="center" vertical="center"/>
    </xf>
    <xf numFmtId="0" fontId="7" fillId="6" borderId="11" xfId="2" applyFont="1" applyFill="1" applyBorder="1" applyAlignment="1">
      <alignment horizontal="center" vertical="center"/>
    </xf>
    <xf numFmtId="0" fontId="7" fillId="6" borderId="12" xfId="2" applyFont="1" applyFill="1" applyBorder="1" applyAlignment="1">
      <alignment horizontal="center" vertical="center"/>
    </xf>
    <xf numFmtId="0" fontId="0" fillId="0" borderId="7" xfId="0" applyFont="1" applyBorder="1" applyAlignment="1">
      <alignment horizontal="left" vertical="center" indent="1"/>
    </xf>
    <xf numFmtId="0" fontId="0" fillId="0" borderId="0" xfId="0" applyFont="1" applyBorder="1" applyAlignment="1">
      <alignment horizontal="left" vertical="center" indent="1"/>
    </xf>
    <xf numFmtId="0" fontId="0" fillId="0" borderId="8" xfId="0" applyFont="1" applyBorder="1" applyAlignment="1">
      <alignment horizontal="left" vertical="center" indent="1"/>
    </xf>
    <xf numFmtId="0" fontId="6" fillId="0" borderId="7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6" fillId="0" borderId="8" xfId="0" applyFont="1" applyBorder="1" applyAlignment="1">
      <alignment horizontal="left" vertical="center" indent="1"/>
    </xf>
    <xf numFmtId="0" fontId="8" fillId="0" borderId="7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8" fillId="0" borderId="8" xfId="0" applyFont="1" applyBorder="1" applyAlignment="1">
      <alignment horizontal="left" vertical="center" indent="1"/>
    </xf>
    <xf numFmtId="0" fontId="0" fillId="0" borderId="7" xfId="0" applyFont="1" applyBorder="1" applyAlignment="1">
      <alignment horizontal="left" vertical="center" indent="2"/>
    </xf>
    <xf numFmtId="0" fontId="0" fillId="0" borderId="0" xfId="0" applyFont="1" applyBorder="1" applyAlignment="1">
      <alignment horizontal="left" vertical="center" indent="2"/>
    </xf>
    <xf numFmtId="0" fontId="0" fillId="0" borderId="8" xfId="0" applyFont="1" applyBorder="1" applyAlignment="1">
      <alignment horizontal="left" vertical="center" indent="2"/>
    </xf>
    <xf numFmtId="0" fontId="8" fillId="0" borderId="7" xfId="0" applyFont="1" applyBorder="1" applyAlignment="1">
      <alignment horizontal="left" vertical="center" indent="2"/>
    </xf>
    <xf numFmtId="0" fontId="8" fillId="0" borderId="0" xfId="0" applyFont="1" applyBorder="1" applyAlignment="1">
      <alignment horizontal="left" vertical="center" indent="2"/>
    </xf>
    <xf numFmtId="0" fontId="8" fillId="0" borderId="8" xfId="0" applyFont="1" applyBorder="1" applyAlignment="1">
      <alignment horizontal="left" vertical="center" indent="2"/>
    </xf>
    <xf numFmtId="0" fontId="10" fillId="6" borderId="13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center" indent="1"/>
    </xf>
    <xf numFmtId="0" fontId="8" fillId="0" borderId="9" xfId="0" applyFont="1" applyBorder="1" applyAlignment="1">
      <alignment horizontal="left" vertical="center" indent="1"/>
    </xf>
    <xf numFmtId="0" fontId="8" fillId="0" borderId="2" xfId="0" applyFont="1" applyBorder="1" applyAlignment="1">
      <alignment horizontal="left" vertical="center" indent="1"/>
    </xf>
    <xf numFmtId="0" fontId="0" fillId="0" borderId="0" xfId="0" applyFont="1" applyAlignment="1">
      <alignment horizontal="left" vertical="center" indent="1"/>
    </xf>
    <xf numFmtId="0" fontId="12" fillId="0" borderId="7" xfId="0" applyFont="1" applyBorder="1" applyAlignment="1">
      <alignment horizontal="left" vertical="center" indent="1"/>
    </xf>
    <xf numFmtId="0" fontId="12" fillId="0" borderId="0" xfId="0" applyFont="1" applyBorder="1" applyAlignment="1">
      <alignment horizontal="left" vertical="center" indent="1"/>
    </xf>
    <xf numFmtId="0" fontId="12" fillId="0" borderId="8" xfId="0" applyFont="1" applyBorder="1" applyAlignment="1">
      <alignment horizontal="left" vertical="center" indent="1"/>
    </xf>
    <xf numFmtId="0" fontId="13" fillId="0" borderId="0" xfId="0" applyFont="1"/>
    <xf numFmtId="0" fontId="0" fillId="0" borderId="0" xfId="0"/>
    <xf numFmtId="0" fontId="14" fillId="0" borderId="0" xfId="0" applyFont="1"/>
    <xf numFmtId="0" fontId="15" fillId="0" borderId="0" xfId="0" applyFont="1"/>
    <xf numFmtId="0" fontId="0" fillId="0" borderId="0" xfId="0" applyFont="1" applyAlignment="1"/>
  </cellXfs>
  <cellStyles count="3">
    <cellStyle name="20% - Accent2" xfId="2" builtinId="34"/>
    <cellStyle name="40% - Accent1" xfId="1" builtinId="31"/>
    <cellStyle name="Normal" xfId="0" builtinId="0"/>
  </cellStyles>
  <dxfs count="15"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$&quot;#,##0.00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CEEAD5"/>
      <color rgb="FFFFF8D5"/>
      <color rgb="FFF46E6E"/>
      <color rgb="FFFDDBDC"/>
      <color rgb="FFD1F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F6CC77-CE25-4B39-901C-4074C425DFAA}" name="Table1" displayName="Table1" ref="H3:P34" totalsRowShown="0" headerRowDxfId="14" dataDxfId="12" headerRowBorderDxfId="13" tableBorderDxfId="11" totalsRowBorderDxfId="10" headerRowCellStyle="40% - Accent1">
  <autoFilter ref="H3:P34" xr:uid="{1CF6CC77-CE25-4B39-901C-4074C425DFAA}"/>
  <tableColumns count="9">
    <tableColumn id="1" xr3:uid="{53EF2786-854B-44F2-9B4D-9CD1B6851C2C}" name="DAY" dataDxfId="9"/>
    <tableColumn id="9" xr3:uid="{845312D8-5AF5-49F8-A493-A787C86EFC52}" name="MONTH" dataDxfId="8"/>
    <tableColumn id="8" xr3:uid="{349F5D0C-57B7-4528-9047-F0476F55F848}" name="COUNTRY CODE" dataDxfId="7"/>
    <tableColumn id="7" xr3:uid="{A40F3E6E-8B9A-4129-8053-C003B700E35B}" name="PRODUCT ID" dataDxfId="6">
      <calculatedColumnFormula>_xlfn.CONCAT(Table1[[#This Row],[DAY]],"-",Table1[[#This Row],[MONTH]],"-",Table1[[#This Row],[COUNTRY CODE]])</calculatedColumnFormula>
    </tableColumn>
    <tableColumn id="2" xr3:uid="{7D9FB4E3-8B7C-474F-8372-79BEFB7E9C88}" name="PRODUCT NAME" dataDxfId="5"/>
    <tableColumn id="3" xr3:uid="{6F6193BB-33BF-40ED-8278-4D179597D234}" name="BRAND NAME" dataDxfId="4"/>
    <tableColumn id="4" xr3:uid="{6F79B621-0B98-4422-B3A8-57A5E34E6D14}" name="PRICE ($)" dataDxfId="3"/>
    <tableColumn id="5" xr3:uid="{F485D49B-DFDB-4793-9FD3-F1505AAE2AC9}" name="QUANTITY" dataDxfId="2"/>
    <tableColumn id="6" xr3:uid="{37FCD346-58C9-476F-B624-53AAB9DE0795}" name="CATEGORY" dataDxfId="1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Custom 2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864EA9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14760-321A-485E-B798-930B1EB909F3}">
  <dimension ref="A1:R28"/>
  <sheetViews>
    <sheetView topLeftCell="A6" zoomScale="80" zoomScaleNormal="80" workbookViewId="0">
      <selection activeCell="A25" sqref="A25:R25"/>
    </sheetView>
  </sheetViews>
  <sheetFormatPr defaultRowHeight="12.5"/>
  <sheetData>
    <row r="1" spans="1:18" ht="14">
      <c r="A1" s="59" t="s">
        <v>146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18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</row>
    <row r="3" spans="1:18" ht="15">
      <c r="A3" s="61" t="s">
        <v>147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</row>
    <row r="4" spans="1:18" ht="15.5">
      <c r="A4" s="62" t="s">
        <v>148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</row>
    <row r="5" spans="1:18" ht="15.5">
      <c r="A5" s="62" t="s">
        <v>149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</row>
    <row r="6" spans="1:18" ht="14.5" customHeight="1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</row>
    <row r="7" spans="1:18" ht="15">
      <c r="A7" s="61" t="s">
        <v>150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</row>
    <row r="8" spans="1:18" ht="15.5">
      <c r="A8" s="62" t="s">
        <v>151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</row>
    <row r="9" spans="1:18" ht="15.5">
      <c r="A9" s="62" t="s">
        <v>152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</row>
    <row r="10" spans="1:18" ht="15.5">
      <c r="A10" s="62" t="s">
        <v>153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</row>
    <row r="11" spans="1:18" ht="14.5" customHeight="1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</row>
    <row r="12" spans="1:18" ht="15">
      <c r="A12" s="61" t="s">
        <v>154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</row>
    <row r="13" spans="1:18" ht="15.5">
      <c r="A13" s="62" t="s">
        <v>155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</row>
    <row r="14" spans="1:18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</row>
    <row r="15" spans="1:18" ht="15">
      <c r="A15" s="61" t="s">
        <v>156</v>
      </c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</row>
    <row r="16" spans="1:18" ht="15.5">
      <c r="A16" s="62" t="s">
        <v>157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</row>
    <row r="17" spans="1:18" ht="15.5">
      <c r="A17" s="62" t="s">
        <v>158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</row>
    <row r="18" spans="1:18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</row>
    <row r="19" spans="1:18" ht="15">
      <c r="A19" s="61" t="s">
        <v>159</v>
      </c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</row>
    <row r="20" spans="1:18" ht="15.5">
      <c r="A20" s="62" t="s">
        <v>160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</row>
    <row r="21" spans="1:18" ht="15.5">
      <c r="A21" s="62" t="s">
        <v>161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</row>
    <row r="22" spans="1:18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</row>
    <row r="23" spans="1:18" ht="15">
      <c r="A23" s="61" t="s">
        <v>162</v>
      </c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</row>
    <row r="24" spans="1:18" ht="15.5">
      <c r="A24" s="62" t="s">
        <v>163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</row>
    <row r="25" spans="1:18" ht="15.5">
      <c r="A25" s="62" t="s">
        <v>164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</row>
    <row r="26" spans="1:18" ht="15.5" customHeight="1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</row>
    <row r="27" spans="1:18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</row>
    <row r="28" spans="1:18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</row>
  </sheetData>
  <mergeCells count="28">
    <mergeCell ref="A25:R25"/>
    <mergeCell ref="A26:R26"/>
    <mergeCell ref="A27:R27"/>
    <mergeCell ref="A28:R28"/>
    <mergeCell ref="A19:R19"/>
    <mergeCell ref="A20:R20"/>
    <mergeCell ref="A21:R21"/>
    <mergeCell ref="A22:R22"/>
    <mergeCell ref="A23:R23"/>
    <mergeCell ref="A24:R24"/>
    <mergeCell ref="A13:R13"/>
    <mergeCell ref="A14:R14"/>
    <mergeCell ref="A15:R15"/>
    <mergeCell ref="A16:R16"/>
    <mergeCell ref="A17:R17"/>
    <mergeCell ref="A18:R18"/>
    <mergeCell ref="A7:R7"/>
    <mergeCell ref="A8:R8"/>
    <mergeCell ref="A9:R9"/>
    <mergeCell ref="A10:R10"/>
    <mergeCell ref="A11:R11"/>
    <mergeCell ref="A12:R12"/>
    <mergeCell ref="A1:R1"/>
    <mergeCell ref="A2:R2"/>
    <mergeCell ref="A3:R3"/>
    <mergeCell ref="A4:R4"/>
    <mergeCell ref="A5:R5"/>
    <mergeCell ref="A6:R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G1002"/>
  <sheetViews>
    <sheetView tabSelected="1" topLeftCell="L5" zoomScaleNormal="100" workbookViewId="0">
      <selection activeCell="N5" sqref="N5"/>
    </sheetView>
  </sheetViews>
  <sheetFormatPr defaultColWidth="12.6328125" defaultRowHeight="15" customHeight="1"/>
  <cols>
    <col min="1" max="6" width="12.6328125" customWidth="1"/>
    <col min="8" max="8" width="18" bestFit="1" customWidth="1"/>
    <col min="9" max="9" width="18" customWidth="1"/>
    <col min="10" max="10" width="22" bestFit="1" customWidth="1"/>
    <col min="11" max="11" width="18" customWidth="1"/>
    <col min="12" max="12" width="21.90625" bestFit="1" customWidth="1"/>
    <col min="13" max="13" width="18.90625" bestFit="1" customWidth="1"/>
    <col min="14" max="14" width="14.36328125" bestFit="1" customWidth="1"/>
    <col min="15" max="15" width="15.7265625" bestFit="1" customWidth="1"/>
    <col min="16" max="16" width="16.81640625" bestFit="1" customWidth="1"/>
    <col min="17" max="17" width="22.1796875" bestFit="1" customWidth="1"/>
    <col min="18" max="18" width="14.453125" bestFit="1" customWidth="1"/>
  </cols>
  <sheetData>
    <row r="1" spans="1:33" ht="15" customHeight="1" thickBot="1">
      <c r="B1" s="30" t="s">
        <v>97</v>
      </c>
      <c r="C1" s="30"/>
      <c r="D1" s="30"/>
      <c r="E1" s="30"/>
      <c r="L1" s="31" t="s">
        <v>98</v>
      </c>
      <c r="M1" s="32"/>
      <c r="N1" s="32"/>
      <c r="O1" s="33"/>
    </row>
    <row r="3" spans="1:33" ht="15.75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H3" s="15" t="s">
        <v>128</v>
      </c>
      <c r="I3" s="15" t="s">
        <v>129</v>
      </c>
      <c r="J3" s="15" t="s">
        <v>130</v>
      </c>
      <c r="K3" s="25" t="s">
        <v>145</v>
      </c>
      <c r="L3" s="5" t="s">
        <v>99</v>
      </c>
      <c r="M3" s="5" t="s">
        <v>100</v>
      </c>
      <c r="N3" s="18" t="s">
        <v>101</v>
      </c>
      <c r="O3" s="5" t="s">
        <v>102</v>
      </c>
      <c r="P3" s="6" t="s">
        <v>103</v>
      </c>
      <c r="Q3" s="22"/>
    </row>
    <row r="4" spans="1:33" ht="15.75" customHeight="1">
      <c r="A4" s="3" t="s">
        <v>6</v>
      </c>
      <c r="B4" s="3" t="s">
        <v>7</v>
      </c>
      <c r="C4" s="3" t="s">
        <v>8</v>
      </c>
      <c r="D4" s="3">
        <v>1000</v>
      </c>
      <c r="E4" s="3">
        <v>30</v>
      </c>
      <c r="F4" s="3" t="s">
        <v>9</v>
      </c>
      <c r="H4" s="28">
        <v>28</v>
      </c>
      <c r="I4" s="26" t="s">
        <v>104</v>
      </c>
      <c r="J4" s="28" t="s">
        <v>105</v>
      </c>
      <c r="K4" s="29" t="str">
        <f>_xlfn.CONCAT(Table1[[#This Row],[DAY]],"-",Table1[[#This Row],[MONTH]],"-",Table1[[#This Row],[COUNTRY CODE]])</f>
        <v>28-JAN-US</v>
      </c>
      <c r="L4" s="7" t="s">
        <v>42</v>
      </c>
      <c r="M4" s="7" t="s">
        <v>8</v>
      </c>
      <c r="N4" s="19">
        <v>1000</v>
      </c>
      <c r="O4" s="7">
        <v>30</v>
      </c>
      <c r="P4" s="8" t="s">
        <v>9</v>
      </c>
      <c r="Q4" t="str">
        <f>MID(I4,4,3)</f>
        <v/>
      </c>
      <c r="R4" s="16">
        <f>AVERAGE($N$4:$N$34)</f>
        <v>290.32258064516128</v>
      </c>
    </row>
    <row r="5" spans="1:33" ht="15.75" customHeight="1">
      <c r="A5" s="4" t="s">
        <v>10</v>
      </c>
      <c r="B5" s="4" t="s">
        <v>11</v>
      </c>
      <c r="C5" s="4" t="s">
        <v>12</v>
      </c>
      <c r="D5" s="4">
        <v>80</v>
      </c>
      <c r="E5" s="4">
        <v>15</v>
      </c>
      <c r="F5" s="4" t="s">
        <v>13</v>
      </c>
      <c r="H5" s="27">
        <v>15</v>
      </c>
      <c r="I5" s="27" t="s">
        <v>106</v>
      </c>
      <c r="J5" s="27" t="s">
        <v>105</v>
      </c>
      <c r="K5" s="29" t="str">
        <f>_xlfn.CONCAT(Table1[[#This Row],[DAY]],"-",Table1[[#This Row],[MONTH]],"-",Table1[[#This Row],[COUNTRY CODE]])</f>
        <v>15-FEB-US</v>
      </c>
      <c r="L5" s="9" t="s">
        <v>11</v>
      </c>
      <c r="M5" s="9" t="s">
        <v>12</v>
      </c>
      <c r="N5" s="20">
        <v>80</v>
      </c>
      <c r="O5" s="9">
        <v>15</v>
      </c>
      <c r="P5" s="10" t="s">
        <v>13</v>
      </c>
      <c r="Q5" s="1"/>
      <c r="R5" s="1"/>
      <c r="S5" s="1"/>
    </row>
    <row r="6" spans="1:33" ht="15.75" customHeight="1" thickBot="1">
      <c r="A6" s="3" t="s">
        <v>14</v>
      </c>
      <c r="B6" s="3" t="s">
        <v>15</v>
      </c>
      <c r="C6" s="3" t="s">
        <v>16</v>
      </c>
      <c r="D6" s="3">
        <v>130</v>
      </c>
      <c r="E6" s="3">
        <v>40</v>
      </c>
      <c r="F6" s="3" t="s">
        <v>17</v>
      </c>
      <c r="H6" s="28">
        <v>3</v>
      </c>
      <c r="I6" s="28" t="s">
        <v>107</v>
      </c>
      <c r="J6" s="28" t="s">
        <v>105</v>
      </c>
      <c r="K6" s="29" t="str">
        <f>_xlfn.CONCAT(Table1[[#This Row],[DAY]],"-",Table1[[#This Row],[MONTH]],"-",Table1[[#This Row],[COUNTRY CODE]])</f>
        <v>3-MAR-US</v>
      </c>
      <c r="L6" s="7" t="s">
        <v>15</v>
      </c>
      <c r="M6" s="7" t="s">
        <v>16</v>
      </c>
      <c r="N6" s="19">
        <v>130</v>
      </c>
      <c r="O6" s="7">
        <v>40</v>
      </c>
      <c r="P6" s="8" t="s">
        <v>17</v>
      </c>
      <c r="Q6" s="1"/>
      <c r="R6" s="49" t="s">
        <v>131</v>
      </c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1"/>
    </row>
    <row r="7" spans="1:33" ht="15.75" customHeight="1">
      <c r="A7" s="4" t="s">
        <v>18</v>
      </c>
      <c r="B7" s="4" t="s">
        <v>19</v>
      </c>
      <c r="C7" s="4" t="s">
        <v>20</v>
      </c>
      <c r="D7" s="4">
        <v>900</v>
      </c>
      <c r="E7" s="4">
        <v>25</v>
      </c>
      <c r="F7" s="4" t="s">
        <v>9</v>
      </c>
      <c r="H7" s="27">
        <v>11</v>
      </c>
      <c r="I7" s="27" t="s">
        <v>108</v>
      </c>
      <c r="J7" s="27" t="s">
        <v>105</v>
      </c>
      <c r="K7" s="29" t="str">
        <f>_xlfn.CONCAT(Table1[[#This Row],[DAY]],"-",Table1[[#This Row],[MONTH]],"-",Table1[[#This Row],[COUNTRY CODE]])</f>
        <v>11-APR-US</v>
      </c>
      <c r="L7" s="17" t="s">
        <v>77</v>
      </c>
      <c r="M7" s="9" t="s">
        <v>20</v>
      </c>
      <c r="N7" s="20">
        <v>900</v>
      </c>
      <c r="O7" s="9">
        <v>25</v>
      </c>
      <c r="P7" s="10" t="s">
        <v>9</v>
      </c>
      <c r="Q7" s="1"/>
      <c r="R7" s="34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6"/>
    </row>
    <row r="8" spans="1:33" ht="15.75" customHeight="1">
      <c r="A8" s="3" t="s">
        <v>21</v>
      </c>
      <c r="B8" s="3" t="s">
        <v>22</v>
      </c>
      <c r="C8" s="3" t="s">
        <v>23</v>
      </c>
      <c r="D8" s="3">
        <v>70</v>
      </c>
      <c r="E8" s="3">
        <v>20</v>
      </c>
      <c r="F8" s="3"/>
      <c r="H8" s="28">
        <v>22</v>
      </c>
      <c r="I8" s="28" t="s">
        <v>109</v>
      </c>
      <c r="J8" s="28" t="s">
        <v>105</v>
      </c>
      <c r="K8" s="29" t="str">
        <f>_xlfn.CONCAT(Table1[[#This Row],[DAY]],"-",Table1[[#This Row],[MONTH]],"-",Table1[[#This Row],[COUNTRY CODE]])</f>
        <v>22-MAY-US</v>
      </c>
      <c r="L8" s="7" t="s">
        <v>22</v>
      </c>
      <c r="M8" s="7" t="s">
        <v>23</v>
      </c>
      <c r="N8" s="19">
        <v>70</v>
      </c>
      <c r="O8" s="7">
        <v>20</v>
      </c>
      <c r="P8" s="23" t="s">
        <v>56</v>
      </c>
      <c r="R8" s="40" t="s">
        <v>132</v>
      </c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2"/>
    </row>
    <row r="9" spans="1:33" ht="15.75" customHeight="1">
      <c r="A9" s="4" t="s">
        <v>24</v>
      </c>
      <c r="B9" s="4" t="s">
        <v>25</v>
      </c>
      <c r="C9" s="4" t="s">
        <v>26</v>
      </c>
      <c r="D9" s="4"/>
      <c r="E9" s="4">
        <v>45</v>
      </c>
      <c r="F9" s="4" t="s">
        <v>27</v>
      </c>
      <c r="H9" s="27">
        <v>7</v>
      </c>
      <c r="I9" s="27" t="s">
        <v>110</v>
      </c>
      <c r="J9" s="27" t="s">
        <v>111</v>
      </c>
      <c r="K9" s="29" t="str">
        <f>_xlfn.CONCAT(Table1[[#This Row],[DAY]],"-",Table1[[#This Row],[MONTH]],"-",Table1[[#This Row],[COUNTRY CODE]])</f>
        <v>7-JUN-UK</v>
      </c>
      <c r="L9" s="9" t="s">
        <v>25</v>
      </c>
      <c r="M9" s="9" t="s">
        <v>26</v>
      </c>
      <c r="N9" s="20">
        <v>290</v>
      </c>
      <c r="O9" s="9">
        <v>45</v>
      </c>
      <c r="P9" s="10" t="s">
        <v>9</v>
      </c>
      <c r="R9" s="34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6"/>
    </row>
    <row r="10" spans="1:33" ht="15.75" customHeight="1">
      <c r="A10" s="3" t="s">
        <v>28</v>
      </c>
      <c r="B10" s="3" t="s">
        <v>29</v>
      </c>
      <c r="C10" s="3" t="s">
        <v>30</v>
      </c>
      <c r="D10" s="3">
        <v>30</v>
      </c>
      <c r="E10" s="3">
        <v>5</v>
      </c>
      <c r="F10" s="3" t="s">
        <v>13</v>
      </c>
      <c r="H10" s="28">
        <v>19</v>
      </c>
      <c r="I10" s="28" t="s">
        <v>112</v>
      </c>
      <c r="J10" s="28" t="s">
        <v>111</v>
      </c>
      <c r="K10" s="29" t="str">
        <f>_xlfn.CONCAT(Table1[[#This Row],[DAY]],"-",Table1[[#This Row],[MONTH]],"-",Table1[[#This Row],[COUNTRY CODE]])</f>
        <v>19-JUL-UK</v>
      </c>
      <c r="L10" s="7" t="s">
        <v>29</v>
      </c>
      <c r="M10" s="7" t="s">
        <v>30</v>
      </c>
      <c r="N10" s="19">
        <v>30</v>
      </c>
      <c r="O10" s="7">
        <v>5</v>
      </c>
      <c r="P10" s="8" t="s">
        <v>13</v>
      </c>
      <c r="R10" s="40" t="s">
        <v>133</v>
      </c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2"/>
    </row>
    <row r="11" spans="1:33" ht="15.75" customHeight="1">
      <c r="A11" s="4" t="s">
        <v>31</v>
      </c>
      <c r="B11" s="4" t="s">
        <v>32</v>
      </c>
      <c r="C11" s="4" t="s">
        <v>33</v>
      </c>
      <c r="D11" s="4">
        <v>90</v>
      </c>
      <c r="E11" s="4">
        <v>35</v>
      </c>
      <c r="F11" s="4" t="s">
        <v>17</v>
      </c>
      <c r="H11" s="27">
        <v>23</v>
      </c>
      <c r="I11" s="27" t="s">
        <v>113</v>
      </c>
      <c r="J11" s="27" t="s">
        <v>111</v>
      </c>
      <c r="K11" s="29" t="str">
        <f>_xlfn.CONCAT(Table1[[#This Row],[DAY]],"-",Table1[[#This Row],[MONTH]],"-",Table1[[#This Row],[COUNTRY CODE]])</f>
        <v>23-AUG-UK</v>
      </c>
      <c r="L11" s="9" t="s">
        <v>32</v>
      </c>
      <c r="M11" s="9" t="s">
        <v>33</v>
      </c>
      <c r="N11" s="20">
        <v>90</v>
      </c>
      <c r="O11" s="9">
        <v>35</v>
      </c>
      <c r="P11" s="10" t="s">
        <v>17</v>
      </c>
      <c r="R11" s="34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6"/>
    </row>
    <row r="12" spans="1:33" ht="15.75" customHeight="1">
      <c r="A12" s="3" t="s">
        <v>34</v>
      </c>
      <c r="B12" s="3" t="s">
        <v>35</v>
      </c>
      <c r="C12" s="3" t="s">
        <v>36</v>
      </c>
      <c r="D12" s="3">
        <v>500</v>
      </c>
      <c r="E12" s="3">
        <v>50</v>
      </c>
      <c r="F12" s="3" t="s">
        <v>9</v>
      </c>
      <c r="H12" s="28">
        <v>5</v>
      </c>
      <c r="I12" s="28" t="s">
        <v>114</v>
      </c>
      <c r="J12" s="28" t="s">
        <v>111</v>
      </c>
      <c r="K12" s="29" t="str">
        <f>_xlfn.CONCAT(Table1[[#This Row],[DAY]],"-",Table1[[#This Row],[MONTH]],"-",Table1[[#This Row],[COUNTRY CODE]])</f>
        <v>5-SEP-UK</v>
      </c>
      <c r="L12" s="7" t="s">
        <v>35</v>
      </c>
      <c r="M12" s="7" t="s">
        <v>36</v>
      </c>
      <c r="N12" s="21">
        <v>290</v>
      </c>
      <c r="O12" s="7">
        <v>50</v>
      </c>
      <c r="P12" s="8" t="s">
        <v>9</v>
      </c>
      <c r="R12" s="37" t="s">
        <v>134</v>
      </c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9"/>
    </row>
    <row r="13" spans="1:33" ht="15.75" customHeight="1">
      <c r="A13" s="4" t="s">
        <v>37</v>
      </c>
      <c r="B13" s="4" t="s">
        <v>38</v>
      </c>
      <c r="C13" s="4" t="s">
        <v>39</v>
      </c>
      <c r="D13" s="4">
        <v>130</v>
      </c>
      <c r="E13" s="4">
        <v>10</v>
      </c>
      <c r="F13" s="4" t="s">
        <v>40</v>
      </c>
      <c r="H13" s="27">
        <v>14</v>
      </c>
      <c r="I13" s="27" t="s">
        <v>115</v>
      </c>
      <c r="J13" s="27" t="s">
        <v>111</v>
      </c>
      <c r="K13" s="29" t="str">
        <f>_xlfn.CONCAT(Table1[[#This Row],[DAY]],"-",Table1[[#This Row],[MONTH]],"-",Table1[[#This Row],[COUNTRY CODE]])</f>
        <v>14-OCT-UK</v>
      </c>
      <c r="L13" s="9" t="s">
        <v>38</v>
      </c>
      <c r="M13" s="9" t="s">
        <v>39</v>
      </c>
      <c r="N13" s="20">
        <v>130</v>
      </c>
      <c r="O13" s="9">
        <v>10</v>
      </c>
      <c r="P13" s="10" t="s">
        <v>40</v>
      </c>
      <c r="R13" s="34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6"/>
    </row>
    <row r="14" spans="1:33" ht="15.75" customHeight="1">
      <c r="A14" s="3" t="s">
        <v>41</v>
      </c>
      <c r="B14" s="3" t="s">
        <v>42</v>
      </c>
      <c r="C14" s="3" t="s">
        <v>43</v>
      </c>
      <c r="D14" s="3">
        <v>950</v>
      </c>
      <c r="E14" s="3">
        <v>25</v>
      </c>
      <c r="F14" s="3" t="s">
        <v>9</v>
      </c>
      <c r="H14" s="28">
        <v>17</v>
      </c>
      <c r="I14" s="28" t="s">
        <v>110</v>
      </c>
      <c r="J14" s="28" t="s">
        <v>116</v>
      </c>
      <c r="K14" s="29" t="str">
        <f>_xlfn.CONCAT(Table1[[#This Row],[DAY]],"-",Table1[[#This Row],[MONTH]],"-",Table1[[#This Row],[COUNTRY CODE]])</f>
        <v>17-JUN-IN</v>
      </c>
      <c r="L14" s="7" t="s">
        <v>42</v>
      </c>
      <c r="M14" s="7" t="s">
        <v>43</v>
      </c>
      <c r="N14" s="19">
        <v>950</v>
      </c>
      <c r="O14" s="7">
        <v>25</v>
      </c>
      <c r="P14" s="8" t="s">
        <v>9</v>
      </c>
      <c r="R14" s="34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6"/>
    </row>
    <row r="15" spans="1:33" ht="15.75" customHeight="1">
      <c r="A15" s="4" t="s">
        <v>44</v>
      </c>
      <c r="B15" s="4" t="s">
        <v>11</v>
      </c>
      <c r="C15" s="4" t="s">
        <v>30</v>
      </c>
      <c r="D15" s="4">
        <v>90</v>
      </c>
      <c r="E15" s="4">
        <v>40</v>
      </c>
      <c r="F15" s="4"/>
      <c r="H15" s="27">
        <v>25</v>
      </c>
      <c r="I15" s="27" t="s">
        <v>117</v>
      </c>
      <c r="J15" s="27" t="s">
        <v>118</v>
      </c>
      <c r="K15" s="29" t="str">
        <f>_xlfn.CONCAT(Table1[[#This Row],[DAY]],"-",Table1[[#This Row],[MONTH]],"-",Table1[[#This Row],[COUNTRY CODE]])</f>
        <v>25-NOV-AU</v>
      </c>
      <c r="L15" s="9" t="s">
        <v>11</v>
      </c>
      <c r="M15" s="9" t="s">
        <v>30</v>
      </c>
      <c r="N15" s="20">
        <v>90</v>
      </c>
      <c r="O15" s="9">
        <v>40</v>
      </c>
      <c r="P15" s="24" t="s">
        <v>13</v>
      </c>
      <c r="R15" s="43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5"/>
    </row>
    <row r="16" spans="1:33" ht="15.75" customHeight="1">
      <c r="A16" s="3" t="s">
        <v>45</v>
      </c>
      <c r="B16" s="3" t="s">
        <v>15</v>
      </c>
      <c r="C16" s="3" t="s">
        <v>46</v>
      </c>
      <c r="D16" s="3">
        <v>120</v>
      </c>
      <c r="E16" s="3">
        <v>35</v>
      </c>
      <c r="F16" s="3"/>
      <c r="H16" s="28">
        <v>8</v>
      </c>
      <c r="I16" s="28" t="s">
        <v>119</v>
      </c>
      <c r="J16" s="28" t="s">
        <v>120</v>
      </c>
      <c r="K16" s="29" t="str">
        <f>IFERROR(_xlfn.CONCAT(Dataset!H5,"-",Dataset!I5,"-",Dataset!J5),"")</f>
        <v>15-FEB-US</v>
      </c>
      <c r="L16" s="7" t="s">
        <v>15</v>
      </c>
      <c r="M16" s="7" t="s">
        <v>46</v>
      </c>
      <c r="N16" s="19">
        <v>120</v>
      </c>
      <c r="O16" s="7">
        <v>35</v>
      </c>
      <c r="P16" s="23" t="s">
        <v>17</v>
      </c>
      <c r="R16" s="46" t="s">
        <v>135</v>
      </c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8"/>
    </row>
    <row r="17" spans="1:33" ht="15.75" customHeight="1">
      <c r="A17" s="4" t="s">
        <v>47</v>
      </c>
      <c r="B17" s="4" t="s">
        <v>48</v>
      </c>
      <c r="C17" s="4" t="s">
        <v>49</v>
      </c>
      <c r="D17" s="4">
        <v>150</v>
      </c>
      <c r="E17" s="4">
        <v>15</v>
      </c>
      <c r="F17" s="4" t="s">
        <v>27</v>
      </c>
      <c r="H17" s="27">
        <v>18</v>
      </c>
      <c r="I17" s="27" t="s">
        <v>106</v>
      </c>
      <c r="J17" s="27" t="s">
        <v>121</v>
      </c>
      <c r="K17" s="29" t="str">
        <f>IFERROR(_xlfn.CONCAT(Dataset!H6,"-",Dataset!I6,"-",Dataset!J6),"")</f>
        <v>3-MAR-US</v>
      </c>
      <c r="L17" s="9" t="s">
        <v>48</v>
      </c>
      <c r="M17" s="9" t="s">
        <v>49</v>
      </c>
      <c r="N17" s="20">
        <v>150</v>
      </c>
      <c r="O17" s="9">
        <v>15</v>
      </c>
      <c r="P17" s="10" t="s">
        <v>9</v>
      </c>
      <c r="R17" s="43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5"/>
    </row>
    <row r="18" spans="1:33" ht="15.75" customHeight="1">
      <c r="A18" s="11" t="s">
        <v>50</v>
      </c>
      <c r="B18" s="11" t="s">
        <v>51</v>
      </c>
      <c r="C18" s="11" t="s">
        <v>52</v>
      </c>
      <c r="D18" s="11">
        <v>250</v>
      </c>
      <c r="E18" s="11">
        <v>20</v>
      </c>
      <c r="F18" s="11" t="s">
        <v>27</v>
      </c>
      <c r="H18" s="28">
        <v>16</v>
      </c>
      <c r="I18" s="28" t="s">
        <v>108</v>
      </c>
      <c r="J18" s="28" t="s">
        <v>122</v>
      </c>
      <c r="K18" s="29" t="str">
        <f>IFERROR(_xlfn.CONCAT(Dataset!H7,"-",Dataset!I7,"-",Dataset!J7),"")</f>
        <v>11-APR-US</v>
      </c>
      <c r="L18" s="13" t="s">
        <v>25</v>
      </c>
      <c r="M18" s="7" t="s">
        <v>52</v>
      </c>
      <c r="N18" s="19">
        <v>250</v>
      </c>
      <c r="O18" s="7">
        <v>20</v>
      </c>
      <c r="P18" s="8" t="s">
        <v>9</v>
      </c>
      <c r="R18" s="46" t="s">
        <v>136</v>
      </c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8"/>
    </row>
    <row r="19" spans="1:33" ht="15.75" customHeight="1">
      <c r="A19" s="4" t="s">
        <v>53</v>
      </c>
      <c r="B19" s="4" t="s">
        <v>54</v>
      </c>
      <c r="C19" s="4" t="s">
        <v>55</v>
      </c>
      <c r="D19" s="4">
        <v>50</v>
      </c>
      <c r="E19" s="4">
        <v>35</v>
      </c>
      <c r="F19" s="4" t="s">
        <v>56</v>
      </c>
      <c r="H19" s="27">
        <v>21</v>
      </c>
      <c r="I19" s="27" t="s">
        <v>113</v>
      </c>
      <c r="J19" s="27" t="s">
        <v>121</v>
      </c>
      <c r="K19" s="29" t="str">
        <f>IFERROR(_xlfn.CONCAT(Dataset!H8,"-",Dataset!I8,"-",Dataset!J8),"")</f>
        <v>22-MAY-US</v>
      </c>
      <c r="L19" s="9" t="s">
        <v>54</v>
      </c>
      <c r="M19" s="9" t="s">
        <v>55</v>
      </c>
      <c r="N19" s="20">
        <v>50</v>
      </c>
      <c r="O19" s="9">
        <v>35</v>
      </c>
      <c r="P19" s="10" t="s">
        <v>56</v>
      </c>
      <c r="R19" s="43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5"/>
    </row>
    <row r="20" spans="1:33" ht="15.75" customHeight="1">
      <c r="A20" s="3" t="s">
        <v>57</v>
      </c>
      <c r="B20" s="3" t="s">
        <v>48</v>
      </c>
      <c r="C20" s="3" t="s">
        <v>58</v>
      </c>
      <c r="D20" s="3">
        <v>160</v>
      </c>
      <c r="E20" s="3">
        <v>15</v>
      </c>
      <c r="F20" s="3" t="s">
        <v>27</v>
      </c>
      <c r="H20" s="28">
        <v>20</v>
      </c>
      <c r="I20" s="28" t="s">
        <v>113</v>
      </c>
      <c r="J20" s="28" t="s">
        <v>123</v>
      </c>
      <c r="K20" s="29" t="str">
        <f>IFERROR(_xlfn.CONCAT(Dataset!H9,"-",Dataset!I9,"-",Dataset!J9),"")</f>
        <v>7-JUN-UK</v>
      </c>
      <c r="L20" s="7" t="s">
        <v>48</v>
      </c>
      <c r="M20" s="7" t="s">
        <v>58</v>
      </c>
      <c r="N20" s="19">
        <v>160</v>
      </c>
      <c r="O20" s="7">
        <v>15</v>
      </c>
      <c r="P20" s="8" t="s">
        <v>9</v>
      </c>
      <c r="R20" s="46" t="s">
        <v>137</v>
      </c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8"/>
    </row>
    <row r="21" spans="1:33" ht="15.75" customHeight="1">
      <c r="A21" s="4" t="s">
        <v>59</v>
      </c>
      <c r="B21" s="4" t="s">
        <v>7</v>
      </c>
      <c r="C21" s="4" t="s">
        <v>60</v>
      </c>
      <c r="D21" s="4">
        <v>980</v>
      </c>
      <c r="E21" s="4">
        <v>10</v>
      </c>
      <c r="F21" s="4" t="s">
        <v>9</v>
      </c>
      <c r="H21" s="27">
        <v>27</v>
      </c>
      <c r="I21" s="27" t="s">
        <v>104</v>
      </c>
      <c r="J21" s="27" t="s">
        <v>124</v>
      </c>
      <c r="K21" s="29" t="str">
        <f>IFERROR(_xlfn.CONCAT(Dataset!H10,"-",Dataset!I10,"-",Dataset!J10),"")</f>
        <v>19-JUL-UK</v>
      </c>
      <c r="L21" s="9" t="s">
        <v>42</v>
      </c>
      <c r="M21" s="9" t="s">
        <v>60</v>
      </c>
      <c r="N21" s="20">
        <v>980</v>
      </c>
      <c r="O21" s="9">
        <v>10</v>
      </c>
      <c r="P21" s="10" t="s">
        <v>9</v>
      </c>
      <c r="R21" s="34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6"/>
    </row>
    <row r="22" spans="1:33" ht="15.75" customHeight="1">
      <c r="A22" s="3" t="s">
        <v>61</v>
      </c>
      <c r="B22" s="3" t="s">
        <v>62</v>
      </c>
      <c r="C22" s="3" t="s">
        <v>63</v>
      </c>
      <c r="D22" s="3">
        <v>150</v>
      </c>
      <c r="E22" s="3">
        <v>15</v>
      </c>
      <c r="F22" s="3" t="s">
        <v>13</v>
      </c>
      <c r="H22" s="28">
        <v>1</v>
      </c>
      <c r="I22" s="28" t="s">
        <v>107</v>
      </c>
      <c r="J22" s="28" t="s">
        <v>111</v>
      </c>
      <c r="K22" s="29" t="str">
        <f>IFERROR(_xlfn.CONCAT(Dataset!H11,"-",Dataset!I11,"-",Dataset!J11),"")</f>
        <v>23-AUG-UK</v>
      </c>
      <c r="L22" s="7" t="s">
        <v>62</v>
      </c>
      <c r="M22" s="7" t="s">
        <v>63</v>
      </c>
      <c r="N22" s="19">
        <v>150</v>
      </c>
      <c r="O22" s="7">
        <v>15</v>
      </c>
      <c r="P22" s="8" t="s">
        <v>13</v>
      </c>
      <c r="R22" s="40" t="s">
        <v>138</v>
      </c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2"/>
    </row>
    <row r="23" spans="1:33" ht="15.75" customHeight="1">
      <c r="A23" s="4" t="s">
        <v>64</v>
      </c>
      <c r="B23" s="4" t="s">
        <v>65</v>
      </c>
      <c r="C23" s="4" t="s">
        <v>66</v>
      </c>
      <c r="D23" s="4"/>
      <c r="E23" s="4">
        <v>10</v>
      </c>
      <c r="F23" s="4" t="s">
        <v>40</v>
      </c>
      <c r="H23" s="27">
        <v>14</v>
      </c>
      <c r="I23" s="27" t="s">
        <v>113</v>
      </c>
      <c r="J23" s="27" t="s">
        <v>105</v>
      </c>
      <c r="K23" s="29" t="str">
        <f>IFERROR(_xlfn.CONCAT(Dataset!H12,"-",Dataset!I12,"-",Dataset!J12),"")</f>
        <v>5-SEP-UK</v>
      </c>
      <c r="L23" s="9" t="s">
        <v>65</v>
      </c>
      <c r="M23" s="9" t="s">
        <v>66</v>
      </c>
      <c r="N23" s="20">
        <v>290</v>
      </c>
      <c r="O23" s="9">
        <v>10</v>
      </c>
      <c r="P23" s="10" t="s">
        <v>40</v>
      </c>
      <c r="R23" s="56" t="s">
        <v>144</v>
      </c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8"/>
    </row>
    <row r="24" spans="1:33" ht="15.75" customHeight="1">
      <c r="A24" s="3" t="s">
        <v>67</v>
      </c>
      <c r="B24" s="3" t="s">
        <v>68</v>
      </c>
      <c r="C24" s="3" t="s">
        <v>69</v>
      </c>
      <c r="D24" s="3">
        <v>700</v>
      </c>
      <c r="E24" s="3">
        <v>50</v>
      </c>
      <c r="F24" s="3" t="s">
        <v>9</v>
      </c>
      <c r="H24" s="28">
        <v>14</v>
      </c>
      <c r="I24" s="28" t="s">
        <v>109</v>
      </c>
      <c r="J24" s="28" t="s">
        <v>125</v>
      </c>
      <c r="K24" s="29" t="str">
        <f>IFERROR(_xlfn.CONCAT(Dataset!H13,"-",Dataset!I13,"-",Dataset!J13),"")</f>
        <v>14-OCT-UK</v>
      </c>
      <c r="L24" s="7" t="s">
        <v>68</v>
      </c>
      <c r="M24" s="7" t="s">
        <v>69</v>
      </c>
      <c r="N24" s="19">
        <v>700</v>
      </c>
      <c r="O24" s="7">
        <v>50</v>
      </c>
      <c r="P24" s="8" t="s">
        <v>9</v>
      </c>
      <c r="R24" s="34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6"/>
    </row>
    <row r="25" spans="1:33" ht="15.75" customHeight="1">
      <c r="A25" s="4" t="s">
        <v>70</v>
      </c>
      <c r="B25" s="4" t="s">
        <v>71</v>
      </c>
      <c r="C25" s="4" t="s">
        <v>72</v>
      </c>
      <c r="D25" s="4">
        <v>80</v>
      </c>
      <c r="E25" s="4">
        <v>20</v>
      </c>
      <c r="F25" s="4" t="s">
        <v>17</v>
      </c>
      <c r="H25" s="27">
        <v>9</v>
      </c>
      <c r="I25" s="27" t="s">
        <v>104</v>
      </c>
      <c r="J25" s="27" t="s">
        <v>121</v>
      </c>
      <c r="K25" s="29" t="str">
        <f>IFERROR(_xlfn.CONCAT(Dataset!H14,"-",Dataset!I14,"-",Dataset!J14),"")</f>
        <v>17-JUN-IN</v>
      </c>
      <c r="L25" s="9" t="s">
        <v>71</v>
      </c>
      <c r="M25" s="9" t="s">
        <v>72</v>
      </c>
      <c r="N25" s="20">
        <v>80</v>
      </c>
      <c r="O25" s="9">
        <v>20</v>
      </c>
      <c r="P25" s="10" t="s">
        <v>17</v>
      </c>
      <c r="R25" s="40" t="s">
        <v>139</v>
      </c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2"/>
    </row>
    <row r="26" spans="1:33" ht="15.75" customHeight="1">
      <c r="A26" s="3" t="s">
        <v>73</v>
      </c>
      <c r="B26" s="3" t="s">
        <v>74</v>
      </c>
      <c r="C26" s="3" t="s">
        <v>75</v>
      </c>
      <c r="D26" s="3">
        <v>150</v>
      </c>
      <c r="E26" s="3">
        <v>30</v>
      </c>
      <c r="F26" s="3"/>
      <c r="H26" s="28">
        <v>19</v>
      </c>
      <c r="I26" s="28" t="s">
        <v>112</v>
      </c>
      <c r="J26" s="28" t="s">
        <v>126</v>
      </c>
      <c r="K26" s="29" t="str">
        <f>IFERROR(_xlfn.CONCAT(Dataset!H15,"-",Dataset!I15,"-",Dataset!J15),"")</f>
        <v>25-NOV-AU</v>
      </c>
      <c r="L26" s="7" t="s">
        <v>74</v>
      </c>
      <c r="M26" s="7" t="s">
        <v>75</v>
      </c>
      <c r="N26" s="19">
        <v>150</v>
      </c>
      <c r="O26" s="7">
        <v>30</v>
      </c>
      <c r="P26" s="23" t="s">
        <v>9</v>
      </c>
      <c r="R26" s="34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6"/>
    </row>
    <row r="27" spans="1:33" ht="15.75" customHeight="1">
      <c r="A27" s="12" t="s">
        <v>53</v>
      </c>
      <c r="B27" s="12" t="s">
        <v>54</v>
      </c>
      <c r="C27" s="12" t="s">
        <v>55</v>
      </c>
      <c r="D27" s="12">
        <v>50</v>
      </c>
      <c r="E27" s="12">
        <v>35</v>
      </c>
      <c r="F27" s="12" t="s">
        <v>56</v>
      </c>
      <c r="H27" s="28">
        <v>29</v>
      </c>
      <c r="I27" s="28" t="s">
        <v>114</v>
      </c>
      <c r="J27" s="28" t="s">
        <v>121</v>
      </c>
      <c r="K27" s="29" t="str">
        <f>IFERROR(_xlfn.CONCAT(Dataset!H16,"-",Dataset!I16,"-",Dataset!J16),"")</f>
        <v>8-DEC-DE</v>
      </c>
      <c r="L27" s="7" t="s">
        <v>77</v>
      </c>
      <c r="M27" s="7" t="s">
        <v>78</v>
      </c>
      <c r="N27" s="19">
        <v>800</v>
      </c>
      <c r="O27" s="7">
        <v>45</v>
      </c>
      <c r="P27" s="8" t="s">
        <v>9</v>
      </c>
      <c r="R27" s="40" t="s">
        <v>140</v>
      </c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2"/>
    </row>
    <row r="28" spans="1:33" ht="15.75" customHeight="1">
      <c r="A28" s="3" t="s">
        <v>76</v>
      </c>
      <c r="B28" s="3" t="s">
        <v>77</v>
      </c>
      <c r="C28" s="3" t="s">
        <v>78</v>
      </c>
      <c r="D28" s="3">
        <v>800</v>
      </c>
      <c r="E28" s="3">
        <v>45</v>
      </c>
      <c r="F28" s="3" t="s">
        <v>9</v>
      </c>
      <c r="H28" s="27">
        <v>3</v>
      </c>
      <c r="I28" s="27" t="s">
        <v>110</v>
      </c>
      <c r="J28" s="27" t="s">
        <v>121</v>
      </c>
      <c r="K28" s="29" t="str">
        <f>IFERROR(_xlfn.CONCAT(Dataset!H17,"-",Dataset!I17,"-",Dataset!J17),"")</f>
        <v>18-FEB-CA</v>
      </c>
      <c r="L28" s="9" t="s">
        <v>62</v>
      </c>
      <c r="M28" s="9" t="s">
        <v>80</v>
      </c>
      <c r="N28" s="20">
        <v>290</v>
      </c>
      <c r="O28" s="9">
        <v>25</v>
      </c>
      <c r="P28" s="10" t="s">
        <v>13</v>
      </c>
      <c r="R28" s="34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6"/>
    </row>
    <row r="29" spans="1:33" ht="15.75" customHeight="1">
      <c r="A29" s="4" t="s">
        <v>79</v>
      </c>
      <c r="B29" s="4" t="s">
        <v>62</v>
      </c>
      <c r="C29" s="4" t="s">
        <v>80</v>
      </c>
      <c r="D29" s="4"/>
      <c r="E29" s="4">
        <v>25</v>
      </c>
      <c r="F29" s="4" t="s">
        <v>13</v>
      </c>
      <c r="H29" s="28">
        <v>11</v>
      </c>
      <c r="I29" s="28" t="s">
        <v>112</v>
      </c>
      <c r="J29" s="28" t="s">
        <v>121</v>
      </c>
      <c r="K29" s="29" t="str">
        <f>IFERROR(_xlfn.CONCAT(Dataset!H18,"-",Dataset!I18,"-",Dataset!J18),"")</f>
        <v>16-APR-ES</v>
      </c>
      <c r="L29" s="7" t="s">
        <v>32</v>
      </c>
      <c r="M29" s="7" t="s">
        <v>82</v>
      </c>
      <c r="N29" s="19">
        <v>400</v>
      </c>
      <c r="O29" s="7">
        <v>40</v>
      </c>
      <c r="P29" s="8" t="s">
        <v>17</v>
      </c>
      <c r="R29" s="40" t="s">
        <v>141</v>
      </c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2"/>
    </row>
    <row r="30" spans="1:33" ht="15.75" customHeight="1">
      <c r="A30" s="3" t="s">
        <v>81</v>
      </c>
      <c r="B30" s="3" t="s">
        <v>32</v>
      </c>
      <c r="C30" s="3" t="s">
        <v>82</v>
      </c>
      <c r="D30" s="3">
        <v>400</v>
      </c>
      <c r="E30" s="3">
        <v>40</v>
      </c>
      <c r="F30" s="3" t="s">
        <v>17</v>
      </c>
      <c r="H30" s="28">
        <v>7</v>
      </c>
      <c r="I30" s="28" t="s">
        <v>107</v>
      </c>
      <c r="J30" s="28" t="s">
        <v>121</v>
      </c>
      <c r="K30" s="29" t="str">
        <f>IFERROR(_xlfn.CONCAT(Dataset!H19,"-",Dataset!I19,"-",Dataset!J19),"")</f>
        <v>21-AUG-CA</v>
      </c>
      <c r="L30" s="7" t="s">
        <v>84</v>
      </c>
      <c r="M30" s="7" t="s">
        <v>85</v>
      </c>
      <c r="N30" s="19">
        <v>60</v>
      </c>
      <c r="O30" s="7">
        <v>30</v>
      </c>
      <c r="P30" s="8" t="s">
        <v>13</v>
      </c>
      <c r="R30" s="34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6"/>
    </row>
    <row r="31" spans="1:33" ht="15.75" customHeight="1">
      <c r="A31" s="4" t="s">
        <v>50</v>
      </c>
      <c r="B31" s="4" t="s">
        <v>51</v>
      </c>
      <c r="C31" s="4" t="s">
        <v>52</v>
      </c>
      <c r="D31" s="4">
        <v>250</v>
      </c>
      <c r="E31" s="4">
        <v>20</v>
      </c>
      <c r="F31" s="4" t="s">
        <v>27</v>
      </c>
      <c r="H31" s="27">
        <v>13</v>
      </c>
      <c r="I31" s="27" t="s">
        <v>108</v>
      </c>
      <c r="J31" s="27" t="s">
        <v>121</v>
      </c>
      <c r="K31" s="29" t="str">
        <f>IFERROR(_xlfn.CONCAT(Dataset!H20,"-",Dataset!I20,"-",Dataset!J20),"")</f>
        <v>20-AUG-CN</v>
      </c>
      <c r="L31" s="9" t="s">
        <v>87</v>
      </c>
      <c r="M31" s="9" t="s">
        <v>88</v>
      </c>
      <c r="N31" s="20">
        <v>40</v>
      </c>
      <c r="O31" s="9">
        <v>10</v>
      </c>
      <c r="P31" s="10" t="s">
        <v>17</v>
      </c>
      <c r="R31" s="40" t="s">
        <v>142</v>
      </c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2"/>
    </row>
    <row r="32" spans="1:33" ht="15.75" customHeight="1">
      <c r="A32" s="3" t="s">
        <v>83</v>
      </c>
      <c r="B32" s="3" t="s">
        <v>84</v>
      </c>
      <c r="C32" s="3" t="s">
        <v>85</v>
      </c>
      <c r="D32" s="3">
        <v>60</v>
      </c>
      <c r="E32" s="3">
        <v>30</v>
      </c>
      <c r="F32" s="3" t="s">
        <v>13</v>
      </c>
      <c r="H32" s="28">
        <v>24</v>
      </c>
      <c r="I32" s="28" t="s">
        <v>109</v>
      </c>
      <c r="J32" s="28" t="s">
        <v>121</v>
      </c>
      <c r="K32" s="29" t="str">
        <f>IFERROR(_xlfn.CONCAT(Dataset!H21,"-",Dataset!I21,"-",Dataset!J21),"")</f>
        <v>27-JAN-IT</v>
      </c>
      <c r="L32" s="7" t="s">
        <v>74</v>
      </c>
      <c r="M32" s="7" t="s">
        <v>90</v>
      </c>
      <c r="N32" s="19">
        <v>130</v>
      </c>
      <c r="O32" s="7">
        <v>5</v>
      </c>
      <c r="P32" s="8" t="s">
        <v>9</v>
      </c>
      <c r="R32" s="34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6"/>
    </row>
    <row r="33" spans="1:33" ht="15.75" customHeight="1">
      <c r="A33" s="4" t="s">
        <v>86</v>
      </c>
      <c r="B33" s="4" t="s">
        <v>87</v>
      </c>
      <c r="C33" s="4" t="s">
        <v>88</v>
      </c>
      <c r="D33" s="4">
        <v>40</v>
      </c>
      <c r="E33" s="4">
        <v>10</v>
      </c>
      <c r="F33" s="4" t="s">
        <v>17</v>
      </c>
      <c r="H33" s="27">
        <v>2</v>
      </c>
      <c r="I33" s="27" t="s">
        <v>119</v>
      </c>
      <c r="J33" s="27" t="s">
        <v>121</v>
      </c>
      <c r="K33" s="29" t="str">
        <f>IFERROR(_xlfn.CONCAT(Dataset!H22,"-",Dataset!I22,"-",Dataset!J22),"")</f>
        <v>1-MAR-UK</v>
      </c>
      <c r="L33" s="9" t="s">
        <v>92</v>
      </c>
      <c r="M33" s="9" t="s">
        <v>93</v>
      </c>
      <c r="N33" s="20">
        <v>50</v>
      </c>
      <c r="O33" s="9">
        <v>50</v>
      </c>
      <c r="P33" s="10" t="s">
        <v>13</v>
      </c>
      <c r="R33" s="52" t="s">
        <v>143</v>
      </c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4"/>
    </row>
    <row r="34" spans="1:33" ht="15.75" customHeight="1">
      <c r="A34" s="3" t="s">
        <v>89</v>
      </c>
      <c r="B34" s="3" t="s">
        <v>74</v>
      </c>
      <c r="C34" s="3" t="s">
        <v>90</v>
      </c>
      <c r="D34" s="3">
        <v>130</v>
      </c>
      <c r="E34" s="3">
        <v>5</v>
      </c>
      <c r="F34" s="3" t="s">
        <v>9</v>
      </c>
      <c r="H34" s="27">
        <v>9</v>
      </c>
      <c r="I34" s="27" t="s">
        <v>112</v>
      </c>
      <c r="J34" s="27" t="s">
        <v>127</v>
      </c>
      <c r="K34" s="29" t="str">
        <f>IFERROR(_xlfn.CONCAT(Dataset!H23,"-",Dataset!I23,"-",Dataset!J23),"")</f>
        <v>14-AUG-US</v>
      </c>
      <c r="L34" s="9" t="s">
        <v>95</v>
      </c>
      <c r="M34" s="9" t="s">
        <v>96</v>
      </c>
      <c r="N34" s="20">
        <v>100</v>
      </c>
      <c r="O34" s="9">
        <v>20</v>
      </c>
      <c r="P34" s="10" t="s">
        <v>56</v>
      </c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</row>
    <row r="35" spans="1:33" ht="15.75" customHeight="1">
      <c r="A35" s="4" t="s">
        <v>91</v>
      </c>
      <c r="B35" s="4" t="s">
        <v>92</v>
      </c>
      <c r="C35" s="4" t="s">
        <v>93</v>
      </c>
      <c r="D35" s="4">
        <v>50</v>
      </c>
      <c r="E35" s="4">
        <v>50</v>
      </c>
      <c r="F35" s="14" t="s">
        <v>13</v>
      </c>
    </row>
    <row r="36" spans="1:33" ht="15.75" customHeight="1">
      <c r="A36" s="11" t="s">
        <v>41</v>
      </c>
      <c r="B36" s="11" t="s">
        <v>42</v>
      </c>
      <c r="C36" s="11" t="s">
        <v>43</v>
      </c>
      <c r="D36" s="11">
        <v>950</v>
      </c>
      <c r="E36" s="11">
        <v>25</v>
      </c>
      <c r="F36" s="11" t="s">
        <v>9</v>
      </c>
    </row>
    <row r="37" spans="1:33" ht="15.75" customHeight="1">
      <c r="A37" s="4" t="s">
        <v>94</v>
      </c>
      <c r="B37" s="4" t="s">
        <v>95</v>
      </c>
      <c r="C37" s="4" t="s">
        <v>96</v>
      </c>
      <c r="D37" s="4">
        <v>100</v>
      </c>
      <c r="E37" s="4">
        <v>20</v>
      </c>
      <c r="F37" s="4" t="s">
        <v>56</v>
      </c>
    </row>
    <row r="38" spans="1:33" ht="15.75" customHeight="1"/>
    <row r="39" spans="1:33" ht="15.75" customHeight="1"/>
    <row r="40" spans="1:33" ht="15.75" customHeight="1"/>
    <row r="41" spans="1:33" ht="15.75" customHeight="1"/>
    <row r="42" spans="1:33" ht="15.75" customHeight="1"/>
    <row r="43" spans="1:33" ht="15.75" customHeight="1"/>
    <row r="44" spans="1:33" ht="15.75" customHeight="1"/>
    <row r="45" spans="1:33" ht="15.75" customHeight="1"/>
    <row r="46" spans="1:33" ht="15.75" customHeight="1"/>
    <row r="47" spans="1:33" ht="15.75" customHeight="1"/>
    <row r="48" spans="1:3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1">
    <mergeCell ref="R31:AG31"/>
    <mergeCell ref="R32:AG32"/>
    <mergeCell ref="R33:AG33"/>
    <mergeCell ref="R34:AG34"/>
    <mergeCell ref="R19:AG19"/>
    <mergeCell ref="R20:AG20"/>
    <mergeCell ref="R21:AG21"/>
    <mergeCell ref="R22:AG22"/>
    <mergeCell ref="R23:AG23"/>
    <mergeCell ref="R24:AG24"/>
    <mergeCell ref="R30:AG30"/>
    <mergeCell ref="R28:AG28"/>
    <mergeCell ref="R29:AG29"/>
    <mergeCell ref="R25:AG25"/>
    <mergeCell ref="R26:AG26"/>
    <mergeCell ref="R15:AG15"/>
    <mergeCell ref="R16:AG16"/>
    <mergeCell ref="R17:AG17"/>
    <mergeCell ref="R18:AG18"/>
    <mergeCell ref="B1:E1"/>
    <mergeCell ref="L1:O1"/>
    <mergeCell ref="R11:AG11"/>
    <mergeCell ref="R12:AG12"/>
    <mergeCell ref="R27:AG27"/>
    <mergeCell ref="R13:AG13"/>
    <mergeCell ref="R14:AG14"/>
    <mergeCell ref="R6:AG6"/>
    <mergeCell ref="R7:AG7"/>
    <mergeCell ref="R8:AG8"/>
    <mergeCell ref="R9:AG9"/>
    <mergeCell ref="R10:AG10"/>
  </mergeCells>
  <phoneticPr fontId="9" type="noConversion"/>
  <conditionalFormatting sqref="N4:N34">
    <cfRule type="colorScale" priority="2">
      <colorScale>
        <cfvo type="min"/>
        <cfvo type="percentile" val="50"/>
        <cfvo type="max"/>
        <color rgb="FFF46E6E"/>
        <color rgb="FFFFF8D5"/>
        <color rgb="FFCEEAD5"/>
      </colorScale>
    </cfRule>
  </conditionalFormatting>
  <conditionalFormatting sqref="P4:P34">
    <cfRule type="containsText" dxfId="0" priority="1" operator="containsText" text="Electronics">
      <formula>NOT(ISERROR(SEARCH("Electronics",P4)))</formula>
    </cfRule>
  </conditionalFormatting>
  <pageMargins left="0.7" right="0.7" top="0.75" bottom="0.75" header="0.3" footer="0.3"/>
  <ignoredErrors>
    <ignoredError sqref="K16:K34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Kaashiv</dc:creator>
  <cp:lastModifiedBy>Selvi Vincent</cp:lastModifiedBy>
  <dcterms:created xsi:type="dcterms:W3CDTF">2025-12-09T13:43:19Z</dcterms:created>
  <dcterms:modified xsi:type="dcterms:W3CDTF">2026-08-26T18:04:54Z</dcterms:modified>
</cp:coreProperties>
</file>